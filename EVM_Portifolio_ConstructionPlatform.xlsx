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ORTFOLIO" sheetId="2" state="visible" r:id="rId4"/>
    <sheet name="Sheet" sheetId="3" state="visible" r:id="rId5"/>
    <sheet name="VALE_VERDE" sheetId="4" state="visible" r:id="rId6"/>
    <sheet name="HORIZONTE" sheetId="5" state="visible" r:id="rId7"/>
    <sheet name="CURVA_S" sheetId="6" state="visible" r:id="rId8"/>
    <sheet name="INDUSTRIAL" sheetId="7" state="visible" r:id="rId9"/>
    <sheet name="GLOSSÁRIO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<sst xmlns="http://schemas.openxmlformats.org/spreadsheetml/2006/main" count="313" uniqueCount="162">
  <si>
    <t xml:space="preserve">AI CONSTRUCTION INTELLIGENCE PLATFORM  |  EVM Dashboard</t>
  </si>
  <si>
    <t xml:space="preserve">Portfólio Consolidado  ·  Earned Value Management  ·  16/05/2026</t>
  </si>
  <si>
    <t xml:space="preserve">CPI MÉDIO</t>
  </si>
  <si>
    <t xml:space="preserve">SPI MÉDIO</t>
  </si>
  <si>
    <t xml:space="preserve">EAC TOTAL</t>
  </si>
  <si>
    <t xml:space="preserve">VAC TOTAL</t>
  </si>
  <si>
    <t xml:space="preserve">TCPI MÉDIO</t>
  </si>
  <si>
    <t xml:space="preserve">% EXEC MÉD</t>
  </si>
  <si>
    <t xml:space="preserve">OBRA</t>
  </si>
  <si>
    <t xml:space="preserve">% EXEC</t>
  </si>
  <si>
    <t xml:space="preserve">CPI</t>
  </si>
  <si>
    <t xml:space="preserve">SPI</t>
  </si>
  <si>
    <t xml:space="preserve">BAC</t>
  </si>
  <si>
    <t xml:space="preserve">PV</t>
  </si>
  <si>
    <t xml:space="preserve">EV</t>
  </si>
  <si>
    <t xml:space="preserve">EAC</t>
  </si>
  <si>
    <t xml:space="preserve">AC</t>
  </si>
  <si>
    <t xml:space="preserve">VAC</t>
  </si>
  <si>
    <t xml:space="preserve">TCPI</t>
  </si>
  <si>
    <t xml:space="preserve">STATUS</t>
  </si>
  <si>
    <t xml:space="preserve">Edifício Horizonte — Torre A</t>
  </si>
  <si>
    <t xml:space="preserve">Condomínio Vale Verde</t>
  </si>
  <si>
    <t xml:space="preserve">Complexo Industrial Norte</t>
  </si>
  <si>
    <t xml:space="preserve">PORTFÓLIO CONSOLIDADO — EVM</t>
  </si>
  <si>
    <t xml:space="preserve">Valores em R$.  Indicadores adimensionais.  Atualizado: 16/05/2026</t>
  </si>
  <si>
    <t xml:space="preserve">BAC (R$)</t>
  </si>
  <si>
    <t xml:space="preserve">PV (R$)</t>
  </si>
  <si>
    <t xml:space="preserve">EV (R$)</t>
  </si>
  <si>
    <t xml:space="preserve">EAC (R$)</t>
  </si>
  <si>
    <t xml:space="preserve">AC (R$)</t>
  </si>
  <si>
    <t xml:space="preserve">VAC (R$)</t>
  </si>
  <si>
    <t xml:space="preserve">PORTFÓLIO CONSOLIDADO (média/soma)</t>
  </si>
  <si>
    <t xml:space="preserve">—</t>
  </si>
  <si>
    <t xml:space="preserve">EVM — Condomínio Vale Verde</t>
  </si>
  <si>
    <t xml:space="preserve">AI Construction Intelligence Platform v5.2  ·  Cost_Controller_AI</t>
  </si>
  <si>
    <t xml:space="preserve">  PREMISSAS  (células em azul — altere conforme o projeto)</t>
  </si>
  <si>
    <t xml:space="preserve">Orçamento Total — BAC</t>
  </si>
  <si>
    <t xml:space="preserve">INPUT</t>
  </si>
  <si>
    <t xml:space="preserve">Budget at Completion</t>
  </si>
  <si>
    <t xml:space="preserve">% do Escopo Planejado (PV%)</t>
  </si>
  <si>
    <t xml:space="preserve">Percentual planejado acumulado</t>
  </si>
  <si>
    <t xml:space="preserve">% do Escopo Realizado (EV%)</t>
  </si>
  <si>
    <t xml:space="preserve">Percentual fisicamente concluído</t>
  </si>
  <si>
    <t xml:space="preserve">Custo Real Incorrido (AC)</t>
  </si>
  <si>
    <t xml:space="preserve">Actual Cost — total gasto até hoje</t>
  </si>
  <si>
    <t xml:space="preserve">Prazo Planejado (meses)</t>
  </si>
  <si>
    <t xml:space="preserve">Duração planejada total</t>
  </si>
  <si>
    <t xml:space="preserve">Prazo Real Decorrido (meses)</t>
  </si>
  <si>
    <t xml:space="preserve">Meses efetivamente decorridos</t>
  </si>
  <si>
    <t xml:space="preserve">  INDICADORES EVM  (calculados automaticamente — não edite)</t>
  </si>
  <si>
    <t xml:space="preserve">PV  — Planned Value (BCWS)</t>
  </si>
  <si>
    <t xml:space="preserve">CALC</t>
  </si>
  <si>
    <t xml:space="preserve">Valor planejado acumulado = BAC × PV%</t>
  </si>
  <si>
    <t xml:space="preserve">EV  — Earned Value (BCWP)</t>
  </si>
  <si>
    <t xml:space="preserve">Valor agregado = BAC × EV%</t>
  </si>
  <si>
    <t xml:space="preserve">AC  — Actual Cost (ACWP)</t>
  </si>
  <si>
    <t xml:space="preserve">Custo real incorrido (igual à premissa)</t>
  </si>
  <si>
    <t xml:space="preserve">CV  — Cost Variance</t>
  </si>
  <si>
    <t xml:space="preserve">EV - AC  |  Negativo = estouro de custo</t>
  </si>
  <si>
    <t xml:space="preserve">SV  — Schedule Variance</t>
  </si>
  <si>
    <t xml:space="preserve">EV - PV  |  Negativo = atraso</t>
  </si>
  <si>
    <t xml:space="preserve">CPI — Cost Performance Index</t>
  </si>
  <si>
    <t xml:space="preserve">&gt; 1.00 abaixo do orçamento  |  &lt; 1.00 estouro</t>
  </si>
  <si>
    <t xml:space="preserve">SPI — Sched. Performance Idx</t>
  </si>
  <si>
    <t xml:space="preserve">&gt; 1.00 adiantado  |  &lt; 1.00 atrasado</t>
  </si>
  <si>
    <t xml:space="preserve">EAC — Estimate at Completion</t>
  </si>
  <si>
    <t xml:space="preserve">BAC / CPI  — custo total projetado</t>
  </si>
  <si>
    <t xml:space="preserve">TCPI— To-Complete Perf. Idx</t>
  </si>
  <si>
    <t xml:space="preserve">(BAC-EV)/(BAC-AC)  |  índice necessário para atingir BAC</t>
  </si>
  <si>
    <t xml:space="preserve">VAC — Variance at Completion</t>
  </si>
  <si>
    <t xml:space="preserve">BAC - EAC  |  Negativo = projeção de estouro</t>
  </si>
  <si>
    <t xml:space="preserve">ETC — Estimate to Complete</t>
  </si>
  <si>
    <t xml:space="preserve">EAC - AC  |  Quanto ainda falta gastar</t>
  </si>
  <si>
    <t xml:space="preserve">SPI(t) — Prazo</t>
  </si>
  <si>
    <t xml:space="preserve">Índice de prazo no tempo</t>
  </si>
  <si>
    <t xml:space="preserve">  SEMÁFORO DE DESEMPENHO</t>
  </si>
  <si>
    <t xml:space="preserve">Custo (CPI)</t>
  </si>
  <si>
    <t xml:space="preserve">Prazo (SPI)</t>
  </si>
  <si>
    <t xml:space="preserve">Viabilidade (TCPI)</t>
  </si>
  <si>
    <t xml:space="preserve">EVM — Edifício Horizonte — Torre A</t>
  </si>
  <si>
    <t xml:space="preserve">CURVA S — PORTFÓLIO CONSOLIDADO</t>
  </si>
  <si>
    <t xml:space="preserve">Valores acumulados em R$ M  ·  Azul=Planejado  ·  Verde=Realizado  ·  Laranja=EAC Projetado</t>
  </si>
  <si>
    <t xml:space="preserve">MÊS</t>
  </si>
  <si>
    <t xml:space="preserve">PV ACUM (R$M)</t>
  </si>
  <si>
    <t xml:space="preserve">EV ACUM (R$M)</t>
  </si>
  <si>
    <t xml:space="preserve">AC ACUM (R$M)</t>
  </si>
  <si>
    <t xml:space="preserve">FORECAST (R$M)</t>
  </si>
  <si>
    <t xml:space="preserve">Jan/25</t>
  </si>
  <si>
    <t xml:space="preserve">Fev/25</t>
  </si>
  <si>
    <t xml:space="preserve">Mar/25</t>
  </si>
  <si>
    <t xml:space="preserve">Abr/25</t>
  </si>
  <si>
    <t xml:space="preserve">Mai/25</t>
  </si>
  <si>
    <t xml:space="preserve">Jun/25</t>
  </si>
  <si>
    <t xml:space="preserve">Jul/25</t>
  </si>
  <si>
    <t xml:space="preserve">Ago/25</t>
  </si>
  <si>
    <t xml:space="preserve">Set/25</t>
  </si>
  <si>
    <t xml:space="preserve">Out/25</t>
  </si>
  <si>
    <t xml:space="preserve">Nov/25</t>
  </si>
  <si>
    <t xml:space="preserve">Dez/25</t>
  </si>
  <si>
    <t xml:space="preserve">EVM — Complexo Industrial Norte</t>
  </si>
  <si>
    <t xml:space="preserve">GLOSSÁRIO EVM  +  GUIA DE USO</t>
  </si>
  <si>
    <t xml:space="preserve">INDICADOR</t>
  </si>
  <si>
    <t xml:space="preserve">FÓRMULA</t>
  </si>
  <si>
    <t xml:space="preserve">INTERPRETAÇÃO</t>
  </si>
  <si>
    <t xml:space="preserve">BAC — Budget at Completion</t>
  </si>
  <si>
    <t xml:space="preserve">Orçamento total</t>
  </si>
  <si>
    <t xml:space="preserve">Custo total planejado para concluir o projeto</t>
  </si>
  <si>
    <t xml:space="preserve">PV — Planned Value (BCWS)</t>
  </si>
  <si>
    <t xml:space="preserve">BAC × % planejado</t>
  </si>
  <si>
    <t xml:space="preserve">Quanto deveria ter sido gasto até hoje pelo plano</t>
  </si>
  <si>
    <t xml:space="preserve">EV — Earned Value (BCWP)</t>
  </si>
  <si>
    <t xml:space="preserve">BAC × % realizado</t>
  </si>
  <si>
    <t xml:space="preserve">Valor do trabalho efetivamente concluído</t>
  </si>
  <si>
    <t xml:space="preserve">AC — Actual Cost (ACWP)</t>
  </si>
  <si>
    <t xml:space="preserve">Custo real incorrido</t>
  </si>
  <si>
    <t xml:space="preserve">Total gasto até a data de referência</t>
  </si>
  <si>
    <t xml:space="preserve">CV — Cost Variance</t>
  </si>
  <si>
    <t xml:space="preserve">EV - AC</t>
  </si>
  <si>
    <t xml:space="preserve">Positivo = economia  |  Negativo = estouro</t>
  </si>
  <si>
    <t xml:space="preserve">SV — Schedule Variance</t>
  </si>
  <si>
    <t xml:space="preserve">EV - PV</t>
  </si>
  <si>
    <t xml:space="preserve">Positivo = adiantado  |  Negativo = atrasado</t>
  </si>
  <si>
    <t xml:space="preserve">CPI — Cost Perf. Index</t>
  </si>
  <si>
    <t xml:space="preserve">EV / AC</t>
  </si>
  <si>
    <t xml:space="preserve">&gt; 1 = abaixo do orçamento  |  &lt; 1 = estouro</t>
  </si>
  <si>
    <t xml:space="preserve">SPI — Sched. Perf. Index</t>
  </si>
  <si>
    <t xml:space="preserve">EV / PV</t>
  </si>
  <si>
    <t xml:space="preserve">&gt; 1 = adiantado  |  &lt; 1 = atrasado</t>
  </si>
  <si>
    <t xml:space="preserve">BAC / CPI</t>
  </si>
  <si>
    <t xml:space="preserve">Projeção do custo total ao final do projeto</t>
  </si>
  <si>
    <t xml:space="preserve">EAC - AC</t>
  </si>
  <si>
    <t xml:space="preserve">Quanto ainda falta gastar para concluir</t>
  </si>
  <si>
    <t xml:space="preserve">BAC - EAC</t>
  </si>
  <si>
    <t xml:space="preserve">Negativo = projeto vai estourar o orçamento</t>
  </si>
  <si>
    <t xml:space="preserve">TCPI — To-Complete Perf.</t>
  </si>
  <si>
    <t xml:space="preserve">(BAC-EV)/(BAC-AC)</t>
  </si>
  <si>
    <t xml:space="preserve">Índice de desempenho necessário para atingir BAC</t>
  </si>
  <si>
    <t xml:space="preserve">CONVENÇÃO DE CORES</t>
  </si>
  <si>
    <t xml:space="preserve">Texto AZUL</t>
  </si>
  <si>
    <t xml:space="preserve">Entrada manual (INPUT)</t>
  </si>
  <si>
    <t xml:space="preserve">Célula editável pelo usuário — altere conforme necessário</t>
  </si>
  <si>
    <t xml:space="preserve">Texto PRETO</t>
  </si>
  <si>
    <t xml:space="preserve">Fórmula calculada (CALC)</t>
  </si>
  <si>
    <t xml:space="preserve">Calculado automaticamente — NÃO edite</t>
  </si>
  <si>
    <t xml:space="preserve">Texto VERDE</t>
  </si>
  <si>
    <t xml:space="preserve">Link inter-abas</t>
  </si>
  <si>
    <t xml:space="preserve">Valor puxado de outra aba da planilha</t>
  </si>
  <si>
    <t xml:space="preserve">AGENTE IA INTEGRADO</t>
  </si>
  <si>
    <t xml:space="preserve">Cost_Controller_AI</t>
  </si>
  <si>
    <t xml:space="preserve">Reward signal</t>
  </si>
  <si>
    <t xml:space="preserve">1 - |custo_real - EAC| / EAC  (quanto mais próximo de 1, melhor)</t>
  </si>
  <si>
    <t xml:space="preserve">Frequência de update</t>
  </si>
  <si>
    <t xml:space="preserve">Mensal</t>
  </si>
  <si>
    <t xml:space="preserve">Atualizar B6 (% real) e B7 (AC) todo mês em cada aba de obra</t>
  </si>
  <si>
    <t xml:space="preserve">Meta CPI</t>
  </si>
  <si>
    <t xml:space="preserve">≥ 0.95</t>
  </si>
  <si>
    <t xml:space="preserve">Abaixo = alerta automático; &lt; 0.80 = crítico</t>
  </si>
  <si>
    <t xml:space="preserve">Meta SPI</t>
  </si>
  <si>
    <t xml:space="preserve">Abaixo = alerta de prazo</t>
  </si>
  <si>
    <t xml:space="preserve">TCPI viável</t>
  </si>
  <si>
    <t xml:space="preserve">≤ 1.10</t>
  </si>
  <si>
    <t xml:space="preserve">Acima = desafiador; &gt; 1.20 = matematicamente inviável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</si>
</sst>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&quot;R$ &quot;#,##0"/>
    <numFmt numFmtId="167" formatCode="0.0%"/>
    <numFmt numFmtId="168" formatCode="#,##0.000"/>
    <numFmt numFmtId="169" formatCode="#,##0"/>
    <numFmt numFmtId="170" formatCode="#,##0.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C9A84C"/>
      <name val="Arial"/>
      <family val="0"/>
      <charset val="1"/>
    </font>
    <font>
      <b val="true"/>
      <sz val="8"/>
      <color rgb="FF374151"/>
      <name val="Arial"/>
      <family val="0"/>
      <charset val="1"/>
    </font>
    <font>
      <b val="true"/>
      <sz val="20"/>
      <color rgb="FFB45309"/>
      <name val="Arial"/>
      <family val="0"/>
      <charset val="1"/>
    </font>
    <font>
      <b val="true"/>
      <sz val="20"/>
      <color rgb="FF15803D"/>
      <name val="Arial"/>
      <family val="0"/>
      <charset val="1"/>
    </font>
    <font>
      <b val="true"/>
      <sz val="20"/>
      <color rgb="FF1A4DC7"/>
      <name val="Arial"/>
      <family val="0"/>
      <charset val="1"/>
    </font>
    <font>
      <b val="true"/>
      <sz val="20"/>
      <color rgb="FFB91C1C"/>
      <name val="Arial"/>
      <family val="0"/>
      <charset val="1"/>
    </font>
    <font>
      <b val="true"/>
      <sz val="20"/>
      <color rgb="FF0E749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F204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C9A84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7415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8"/>
      <color rgb="FF1A4DC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10"/>
      <color rgb="FF37415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F2044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F2044"/>
        <bgColor rgb="FF003300"/>
      </patternFill>
    </fill>
    <fill>
      <patternFill patternType="solid">
        <fgColor rgb="FFFEF3C7"/>
        <bgColor rgb="FFFFF8E1"/>
      </patternFill>
    </fill>
    <fill>
      <patternFill patternType="solid">
        <fgColor rgb="FFDCFCE7"/>
        <bgColor rgb="FFCFFAFE"/>
      </patternFill>
    </fill>
    <fill>
      <patternFill patternType="solid">
        <fgColor rgb="FFDBEAFE"/>
        <bgColor rgb="FFEEF2FA"/>
      </patternFill>
    </fill>
    <fill>
      <patternFill patternType="solid">
        <fgColor rgb="FFFEE2E2"/>
        <bgColor rgb="FFFEF3C7"/>
      </patternFill>
    </fill>
    <fill>
      <patternFill patternType="solid">
        <fgColor rgb="FFCFFAFE"/>
        <bgColor rgb="FFDCFCE7"/>
      </patternFill>
    </fill>
    <fill>
      <patternFill patternType="solid">
        <fgColor rgb="FFFFFFFF"/>
        <bgColor rgb="FFF4F6FA"/>
      </patternFill>
    </fill>
    <fill>
      <patternFill patternType="solid">
        <fgColor rgb="FFEEF2FA"/>
        <bgColor rgb="FFF4F6FA"/>
      </patternFill>
    </fill>
    <fill>
      <patternFill patternType="solid">
        <fgColor rgb="FF374151"/>
        <bgColor rgb="FF333399"/>
      </patternFill>
    </fill>
    <fill>
      <patternFill patternType="solid">
        <fgColor rgb="FFF4F6FA"/>
        <bgColor rgb="FFEEF2FA"/>
      </patternFill>
    </fill>
    <fill>
      <patternFill patternType="solid">
        <fgColor rgb="FFFFF8E1"/>
        <bgColor rgb="FFFEF3C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8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9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15803D"/>
        <sz val="11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B45309"/>
        <sz val="11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B91C1C"/>
        <sz val="11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E7490"/>
      <rgbColor rgb="FFD9D9D9"/>
      <rgbColor rgb="FF878787"/>
      <rgbColor rgb="FF9999FF"/>
      <rgbColor rgb="FFB45309"/>
      <rgbColor rgb="FFFFF8E1"/>
      <rgbColor rgb="FFCFFAFE"/>
      <rgbColor rgb="FF660066"/>
      <rgbColor rgb="FFFF8080"/>
      <rgbColor rgb="FF1A4DC7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FCE7"/>
      <rgbColor rgb="FFDBEAFE"/>
      <rgbColor rgb="FFFEF3C7"/>
      <rgbColor rgb="FFEEF2FA"/>
      <rgbColor rgb="FFF4F6FA"/>
      <rgbColor rgb="FFCC99FF"/>
      <rgbColor rgb="FFFEE2E2"/>
      <rgbColor rgb="FF3366FF"/>
      <rgbColor rgb="FF33CCCC"/>
      <rgbColor rgb="FF99CC00"/>
      <rgbColor rgb="FFFFCC00"/>
      <rgbColor rgb="FFFF9900"/>
      <rgbColor rgb="FFF77F00"/>
      <rgbColor rgb="FF6B7280"/>
      <rgbColor rgb="FFC9A84C"/>
      <rgbColor rgb="FF0F2044"/>
      <rgbColor rgb="FF339966"/>
      <rgbColor rgb="FF003300"/>
      <rgbColor rgb="FF333300"/>
      <rgbColor rgb="FFB91C1C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Curva S — Portfólio (R$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CURVA_S!B4</c:f>
              <c:strCache>
                <c:ptCount val="1"/>
                <c:pt idx="0">
                  <c:v>PV ACUM (R$M)</c:v>
                </c:pt>
              </c:strCache>
            </c:strRef>
          </c:tx>
          <c:spPr>
            <a:solidFill>
              <a:srgbClr val="1a4dc7"/>
            </a:solidFill>
            <a:ln w="20160">
              <a:solidFill>
                <a:srgbClr val="1a4dc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CURVA_S!$A$5:$A$16</c:f>
              <c:strCache>
                <c:ptCount val="12"/>
                <c:pt idx="0">
                  <c:v>Jan/25</c:v>
                </c:pt>
                <c:pt idx="1">
                  <c:v>Fev/25</c:v>
                </c:pt>
                <c:pt idx="2">
                  <c:v>Mar/25</c:v>
                </c:pt>
                <c:pt idx="3">
                  <c:v>Abr/25</c:v>
                </c:pt>
                <c:pt idx="4">
                  <c:v>Mai/25</c:v>
                </c:pt>
                <c:pt idx="5">
                  <c:v>Jun/25</c:v>
                </c:pt>
                <c:pt idx="6">
                  <c:v>Jul/25</c:v>
                </c:pt>
                <c:pt idx="7">
                  <c:v>Ago/25</c:v>
                </c:pt>
                <c:pt idx="8">
                  <c:v>Set/25</c:v>
                </c:pt>
                <c:pt idx="9">
                  <c:v>Out/25</c:v>
                </c:pt>
                <c:pt idx="10">
                  <c:v>Nov/25</c:v>
                </c:pt>
                <c:pt idx="11">
                  <c:v>Dez/25</c:v>
                </c:pt>
              </c:strCache>
            </c:strRef>
          </c:cat>
          <c:val>
            <c:numRef>
              <c:f>CURVA_S!$B$5:$B$16</c:f>
              <c:numCache>
                <c:formatCode>#,##0.0</c:formatCode>
                <c:ptCount val="12"/>
                <c:pt idx="0">
                  <c:v>8.2</c:v>
                </c:pt>
                <c:pt idx="1">
                  <c:v>18.4</c:v>
                </c:pt>
                <c:pt idx="2">
                  <c:v>31</c:v>
                </c:pt>
                <c:pt idx="3">
                  <c:v>47.2</c:v>
                </c:pt>
                <c:pt idx="4">
                  <c:v>65.4</c:v>
                </c:pt>
                <c:pt idx="5">
                  <c:v>81.6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CURVA_S!C4</c:f>
              <c:strCache>
                <c:ptCount val="1"/>
                <c:pt idx="0">
                  <c:v>EV ACUM (R$M)</c:v>
                </c:pt>
              </c:strCache>
            </c:strRef>
          </c:tx>
          <c:spPr>
            <a:solidFill>
              <a:srgbClr val="15803d"/>
            </a:solidFill>
            <a:ln w="20160">
              <a:solidFill>
                <a:srgbClr val="15803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CURVA_S!$A$5:$A$16</c:f>
              <c:strCache>
                <c:ptCount val="12"/>
                <c:pt idx="0">
                  <c:v>Jan/25</c:v>
                </c:pt>
                <c:pt idx="1">
                  <c:v>Fev/25</c:v>
                </c:pt>
                <c:pt idx="2">
                  <c:v>Mar/25</c:v>
                </c:pt>
                <c:pt idx="3">
                  <c:v>Abr/25</c:v>
                </c:pt>
                <c:pt idx="4">
                  <c:v>Mai/25</c:v>
                </c:pt>
                <c:pt idx="5">
                  <c:v>Jun/25</c:v>
                </c:pt>
                <c:pt idx="6">
                  <c:v>Jul/25</c:v>
                </c:pt>
                <c:pt idx="7">
                  <c:v>Ago/25</c:v>
                </c:pt>
                <c:pt idx="8">
                  <c:v>Set/25</c:v>
                </c:pt>
                <c:pt idx="9">
                  <c:v>Out/25</c:v>
                </c:pt>
                <c:pt idx="10">
                  <c:v>Nov/25</c:v>
                </c:pt>
                <c:pt idx="11">
                  <c:v>Dez/25</c:v>
                </c:pt>
              </c:strCache>
            </c:strRef>
          </c:cat>
          <c:val>
            <c:numRef>
              <c:f>CURVA_S!$C$5:$C$16</c:f>
              <c:numCache>
                <c:formatCode>#,##0.0</c:formatCode>
                <c:ptCount val="12"/>
                <c:pt idx="0">
                  <c:v>6.1</c:v>
                </c:pt>
                <c:pt idx="1">
                  <c:v>14.2</c:v>
                </c:pt>
                <c:pt idx="2">
                  <c:v>25.8</c:v>
                </c:pt>
                <c:pt idx="3">
                  <c:v>40.3</c:v>
                </c:pt>
                <c:pt idx="4">
                  <c:v>56.7</c:v>
                </c:pt>
                <c:pt idx="5">
                  <c:v>68.5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CURVA_S!E4</c:f>
              <c:strCache>
                <c:ptCount val="1"/>
                <c:pt idx="0">
                  <c:v>FORECAST (R$M)</c:v>
                </c:pt>
              </c:strCache>
            </c:strRef>
          </c:tx>
          <c:spPr>
            <a:solidFill>
              <a:srgbClr val="f77f00"/>
            </a:solidFill>
            <a:ln w="15120">
              <a:solidFill>
                <a:srgbClr val="f77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CURVA_S!$A$5:$A$16</c:f>
              <c:strCache>
                <c:ptCount val="12"/>
                <c:pt idx="0">
                  <c:v>Jan/25</c:v>
                </c:pt>
                <c:pt idx="1">
                  <c:v>Fev/25</c:v>
                </c:pt>
                <c:pt idx="2">
                  <c:v>Mar/25</c:v>
                </c:pt>
                <c:pt idx="3">
                  <c:v>Abr/25</c:v>
                </c:pt>
                <c:pt idx="4">
                  <c:v>Mai/25</c:v>
                </c:pt>
                <c:pt idx="5">
                  <c:v>Jun/25</c:v>
                </c:pt>
                <c:pt idx="6">
                  <c:v>Jul/25</c:v>
                </c:pt>
                <c:pt idx="7">
                  <c:v>Ago/25</c:v>
                </c:pt>
                <c:pt idx="8">
                  <c:v>Set/25</c:v>
                </c:pt>
                <c:pt idx="9">
                  <c:v>Out/25</c:v>
                </c:pt>
                <c:pt idx="10">
                  <c:v>Nov/25</c:v>
                </c:pt>
                <c:pt idx="11">
                  <c:v>Dez/25</c:v>
                </c:pt>
              </c:strCache>
            </c:strRef>
          </c:cat>
          <c:val>
            <c:numRef>
              <c:f>CURVA_S!$E$5:$E$16</c:f>
              <c:numCache>
                <c:formatCode>#,##0.0</c:formatCode>
                <c:ptCount val="12"/>
                <c:pt idx="6">
                  <c:v>88.2</c:v>
                </c:pt>
                <c:pt idx="7">
                  <c:v>98.7</c:v>
                </c:pt>
                <c:pt idx="8">
                  <c:v>110.4</c:v>
                </c:pt>
                <c:pt idx="9">
                  <c:v>121</c:v>
                </c:pt>
                <c:pt idx="10">
                  <c:v>133.2</c:v>
                </c:pt>
                <c:pt idx="11">
                  <c:v>146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9918679"/>
        <c:axId val="49084764"/>
      </c:lineChart>
      <c:catAx>
        <c:axId val="899186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084764"/>
        <c:crosses val="autoZero"/>
        <c:auto val="1"/>
        <c:lblAlgn val="ctr"/>
        <c:lblOffset val="100"/>
        <c:noMultiLvlLbl val="0"/>
      </c:catAx>
      <c:valAx>
        <c:axId val="490847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 Milhões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186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20</xdr:col>
      <xdr:colOff>78480</xdr:colOff>
      <xdr:row>26</xdr:row>
      <xdr:rowOff>1080</xdr:rowOff>
    </xdr:to>
    <xdr:graphicFrame>
      <xdr:nvGraphicFramePr>
        <xdr:cNvPr id="0" name="Chart 1"/>
        <xdr:cNvGraphicFramePr/>
      </xdr:nvGraphicFramePr>
      <xdr:xfrm>
        <a:off x="6532200" y="67644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4" min="2" style="0" width="13"/>
  </cols>
  <sheetData>
    <row r="1" customFormat="false" ht="15" hidden="false" customHeight="fals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3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9.5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3.5" hidden="false" customHeight="true" outlineLevel="0" collapsed="false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9.5" hidden="false" customHeight="true" outlineLevel="0" collapsed="false">
      <c r="B5" s="3" t="s">
        <v>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9.75" hidden="false" customHeight="true" outlineLevel="0" collapsed="false"/>
    <row r="7" customFormat="false" ht="18" hidden="false" customHeight="true" outlineLevel="0" collapsed="false">
      <c r="B7" s="4" t="s">
        <v>2</v>
      </c>
      <c r="C7" s="4"/>
      <c r="D7" s="5" t="s">
        <v>3</v>
      </c>
      <c r="E7" s="5"/>
      <c r="F7" s="6" t="s">
        <v>4</v>
      </c>
      <c r="G7" s="6"/>
      <c r="H7" s="7" t="s">
        <v>5</v>
      </c>
      <c r="I7" s="7"/>
      <c r="J7" s="4" t="s">
        <v>6</v>
      </c>
      <c r="K7" s="4"/>
      <c r="L7" s="8" t="s">
        <v>7</v>
      </c>
      <c r="M7" s="8"/>
    </row>
    <row r="8" customFormat="false" ht="37.5" hidden="false" customHeight="true" outlineLevel="0" collapsed="false">
      <c r="B8" s="9" t="n">
        <f aca="false">PORTFOLIO!C9</f>
        <v>0.863551714663573</v>
      </c>
      <c r="C8" s="9"/>
      <c r="D8" s="10" t="n">
        <f aca="false">PORTFOLIO!D9</f>
        <v>0.950082490530377</v>
      </c>
      <c r="E8" s="10"/>
      <c r="F8" s="11" t="n">
        <f aca="false">PORTFOLIO!H9</f>
        <v>93815189.2473118</v>
      </c>
      <c r="G8" s="11"/>
      <c r="H8" s="12" t="n">
        <f aca="false">PORTFOLIO!J9</f>
        <v>-16115189.2473118</v>
      </c>
      <c r="I8" s="12"/>
      <c r="J8" s="9" t="n">
        <f aca="false">PORTFOLIO!K9</f>
        <v>1.11256050951252</v>
      </c>
      <c r="K8" s="9"/>
      <c r="L8" s="13" t="n">
        <f aca="false">PORTFOLIO!B9</f>
        <v>0.493333333333333</v>
      </c>
      <c r="M8" s="13"/>
    </row>
    <row r="9" customFormat="false" ht="9.75" hidden="false" customHeight="true" outlineLevel="0" collapsed="false"/>
    <row r="10" customFormat="false" ht="24" hidden="false" customHeight="true" outlineLevel="0" collapsed="false">
      <c r="B10" s="14" t="s">
        <v>8</v>
      </c>
      <c r="C10" s="14" t="s">
        <v>9</v>
      </c>
      <c r="D10" s="14" t="s">
        <v>10</v>
      </c>
      <c r="E10" s="14" t="s">
        <v>11</v>
      </c>
      <c r="F10" s="14" t="s">
        <v>12</v>
      </c>
      <c r="G10" s="14" t="s">
        <v>13</v>
      </c>
      <c r="H10" s="14" t="s">
        <v>14</v>
      </c>
      <c r="I10" s="14" t="s">
        <v>15</v>
      </c>
      <c r="J10" s="14" t="s">
        <v>16</v>
      </c>
      <c r="K10" s="14" t="s">
        <v>17</v>
      </c>
      <c r="L10" s="14" t="s">
        <v>18</v>
      </c>
      <c r="M10" s="14" t="s">
        <v>19</v>
      </c>
    </row>
    <row r="11" customFormat="false" ht="19.5" hidden="false" customHeight="true" outlineLevel="0" collapsed="false">
      <c r="B11" s="15" t="s">
        <v>20</v>
      </c>
      <c r="C11" s="16" t="n">
        <f aca="false">PORTFOLIO!B5</f>
        <v>0.72</v>
      </c>
      <c r="D11" s="17" t="n">
        <f aca="false">PORTFOLIO!C5</f>
        <v>1.02894833272261</v>
      </c>
      <c r="E11" s="17" t="n">
        <f aca="false">PORTFOLIO!D5</f>
        <v>1.04956268221574</v>
      </c>
      <c r="F11" s="18" t="n">
        <f aca="false">PORTFOLIO!E5</f>
        <v>23400000</v>
      </c>
      <c r="G11" s="18" t="n">
        <f aca="false">PORTFOLIO!F5</f>
        <v>16052400</v>
      </c>
      <c r="H11" s="18" t="n">
        <f aca="false">PORTFOLIO!G5</f>
        <v>16848000</v>
      </c>
      <c r="I11" s="18" t="n">
        <f aca="false">PORTFOLIO!H5</f>
        <v>22741666.6666667</v>
      </c>
      <c r="J11" s="18" t="n">
        <f aca="false">PORTFOLIO!I5</f>
        <v>16374000</v>
      </c>
      <c r="K11" s="18" t="n">
        <f aca="false">PORTFOLIO!J5</f>
        <v>658333.333333332</v>
      </c>
      <c r="L11" s="17" t="n">
        <f aca="false">PORTFOLIO!K5</f>
        <v>0.932536293766012</v>
      </c>
      <c r="M11" s="19" t="str">
        <f aca="false">PORTFOLIO!L5</f>
        <v>✔ OK</v>
      </c>
    </row>
    <row r="12" customFormat="false" ht="19.5" hidden="false" customHeight="true" outlineLevel="0" collapsed="false">
      <c r="B12" s="20" t="s">
        <v>21</v>
      </c>
      <c r="C12" s="21" t="n">
        <f aca="false">PORTFOLIO!B6</f>
        <v>0.45</v>
      </c>
      <c r="D12" s="22" t="n">
        <f aca="false">PORTFOLIO!C6</f>
        <v>0.818876622588863</v>
      </c>
      <c r="E12" s="22" t="n">
        <f aca="false">PORTFOLIO!D6</f>
        <v>0.819672131147541</v>
      </c>
      <c r="F12" s="23" t="n">
        <f aca="false">PORTFOLIO!E6</f>
        <v>16200000</v>
      </c>
      <c r="G12" s="23" t="n">
        <f aca="false">PORTFOLIO!F6</f>
        <v>8893800</v>
      </c>
      <c r="H12" s="23" t="n">
        <f aca="false">PORTFOLIO!G6</f>
        <v>7290000</v>
      </c>
      <c r="I12" s="23" t="n">
        <f aca="false">PORTFOLIO!H6</f>
        <v>19783200</v>
      </c>
      <c r="J12" s="23" t="n">
        <f aca="false">PORTFOLIO!I6</f>
        <v>8902440</v>
      </c>
      <c r="K12" s="23" t="n">
        <f aca="false">PORTFOLIO!J6</f>
        <v>-3583200</v>
      </c>
      <c r="L12" s="22" t="n">
        <f aca="false">PORTFOLIO!K6</f>
        <v>1.22095604558236</v>
      </c>
      <c r="M12" s="24" t="str">
        <f aca="false">PORTFOLIO!L6</f>
        <v>⚠ ALERTA</v>
      </c>
    </row>
    <row r="13" customFormat="false" ht="19.5" hidden="false" customHeight="true" outlineLevel="0" collapsed="false">
      <c r="B13" s="15" t="s">
        <v>22</v>
      </c>
      <c r="C13" s="16" t="n">
        <f aca="false">PORTFOLIO!B7</f>
        <v>0.31</v>
      </c>
      <c r="D13" s="17" t="n">
        <f aca="false">PORTFOLIO!C7</f>
        <v>0.742830188679245</v>
      </c>
      <c r="E13" s="17" t="n">
        <f aca="false">PORTFOLIO!D7</f>
        <v>0.981012658227848</v>
      </c>
      <c r="F13" s="18" t="n">
        <f aca="false">PORTFOLIO!E7</f>
        <v>38100000</v>
      </c>
      <c r="G13" s="18" t="n">
        <f aca="false">PORTFOLIO!F7</f>
        <v>12039600</v>
      </c>
      <c r="H13" s="18" t="n">
        <f aca="false">PORTFOLIO!G7</f>
        <v>11811000</v>
      </c>
      <c r="I13" s="18" t="n">
        <f aca="false">PORTFOLIO!H7</f>
        <v>51290322.5806452</v>
      </c>
      <c r="J13" s="18" t="n">
        <f aca="false">PORTFOLIO!I7</f>
        <v>15900000</v>
      </c>
      <c r="K13" s="18" t="n">
        <f aca="false">PORTFOLIO!J7</f>
        <v>-13190322.5806452</v>
      </c>
      <c r="L13" s="17" t="n">
        <f aca="false">PORTFOLIO!K7</f>
        <v>1.18418918918919</v>
      </c>
      <c r="M13" s="19" t="str">
        <f aca="false">PORTFOLIO!L7</f>
        <v>✖ CRÍTICO</v>
      </c>
    </row>
  </sheetData>
  <mergeCells count="14">
    <mergeCell ref="B2:N4"/>
    <mergeCell ref="B5:N5"/>
    <mergeCell ref="B7:C7"/>
    <mergeCell ref="D7:E7"/>
    <mergeCell ref="F7:G7"/>
    <mergeCell ref="H7:I7"/>
    <mergeCell ref="J7:K7"/>
    <mergeCell ref="L7:M7"/>
    <mergeCell ref="B8:C8"/>
    <mergeCell ref="D8:E8"/>
    <mergeCell ref="F8:G8"/>
    <mergeCell ref="H8:I8"/>
    <mergeCell ref="J8:K8"/>
    <mergeCell ref="L8:M8"/>
  </mergeCells>
  <conditionalFormatting sqref="D11:D13">
    <cfRule type="colorScale" priority="2">
      <colorScale>
        <cfvo type="num" val="0.7"/>
        <cfvo type="num" val="0.9"/>
        <cfvo type="num" val="1.1"/>
        <color rgb="FFB91C1C"/>
        <color rgb="FFFFFF00"/>
        <color rgb="FF00B05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2" min="2" style="0" width="14"/>
  </cols>
  <sheetData>
    <row r="1" customFormat="false" ht="30" hidden="false" customHeight="true" outlineLevel="0" collapsed="false">
      <c r="A1" s="25" t="s">
        <v>23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customFormat="false" ht="18" hidden="false" customHeight="true" outlineLevel="0" collapsed="false">
      <c r="A2" s="26" t="s">
        <v>24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customFormat="false" ht="7.5" hidden="false" customHeight="true" outlineLevel="0" collapsed="false"/>
    <row r="4" customFormat="false" ht="24" hidden="false" customHeight="true" outlineLevel="0" collapsed="false">
      <c r="A4" s="14" t="s">
        <v>8</v>
      </c>
      <c r="B4" s="14" t="s">
        <v>9</v>
      </c>
      <c r="C4" s="14" t="s">
        <v>10</v>
      </c>
      <c r="D4" s="14" t="s">
        <v>11</v>
      </c>
      <c r="E4" s="14" t="s">
        <v>25</v>
      </c>
      <c r="F4" s="14" t="s">
        <v>26</v>
      </c>
      <c r="G4" s="14" t="s">
        <v>27</v>
      </c>
      <c r="H4" s="14" t="s">
        <v>28</v>
      </c>
      <c r="I4" s="14" t="s">
        <v>29</v>
      </c>
      <c r="J4" s="14" t="s">
        <v>30</v>
      </c>
      <c r="K4" s="14" t="s">
        <v>18</v>
      </c>
      <c r="L4" s="14" t="s">
        <v>19</v>
      </c>
    </row>
    <row r="5" customFormat="false" ht="21.75" hidden="false" customHeight="true" outlineLevel="0" collapsed="false">
      <c r="A5" s="15" t="s">
        <v>20</v>
      </c>
      <c r="B5" s="16" t="n">
        <f aca="false">HORIZONTE!B6</f>
        <v>0.72</v>
      </c>
      <c r="C5" s="27" t="n">
        <f aca="false">IF(HORIZONTE!B13=0,0,HORIZONTE!B12/HORIZONTE!B13)</f>
        <v>1.02894833272261</v>
      </c>
      <c r="D5" s="27" t="n">
        <f aca="false">IF(HORIZONTE!B11=0,0,HORIZONTE!B12/HORIZONTE!B11)</f>
        <v>1.04956268221574</v>
      </c>
      <c r="E5" s="18" t="n">
        <f aca="false">HORIZONTE!B4</f>
        <v>23400000</v>
      </c>
      <c r="F5" s="18" t="n">
        <f aca="false">HORIZONTE!B11</f>
        <v>16052400</v>
      </c>
      <c r="G5" s="18" t="n">
        <f aca="false">HORIZONTE!B12</f>
        <v>16848000</v>
      </c>
      <c r="H5" s="18" t="n">
        <f aca="false">IF(HORIZONTE!B16=0,HORIZONTE!B4,HORIZONTE!B4/HORIZONTE!B16)</f>
        <v>22741666.6666667</v>
      </c>
      <c r="I5" s="18" t="n">
        <f aca="false">HORIZONTE!B13</f>
        <v>16374000</v>
      </c>
      <c r="J5" s="18" t="n">
        <f aca="false">HORIZONTE!B4-IF(HORIZONTE!B16=0,HORIZONTE!B4,HORIZONTE!B4/HORIZONTE!B16)</f>
        <v>658333.333333332</v>
      </c>
      <c r="K5" s="27" t="n">
        <f aca="false">IF((HORIZONTE!B4-HORIZONTE!B13)=0,0,(HORIZONTE!B4-HORIZONTE!B12)/(HORIZONTE!B4-HORIZONTE!B13))</f>
        <v>0.932536293766012</v>
      </c>
      <c r="L5" s="19" t="str">
        <f aca="false">IF(C5&gt;=0.95,"✔ OK",IF(C5&gt;=0.8,"⚠ ALERTA","✖ CRÍTICO"))</f>
        <v>✔ OK</v>
      </c>
    </row>
    <row r="6" customFormat="false" ht="21.75" hidden="false" customHeight="true" outlineLevel="0" collapsed="false">
      <c r="A6" s="20" t="s">
        <v>21</v>
      </c>
      <c r="B6" s="21" t="n">
        <f aca="false">VALE_VERDE!B6</f>
        <v>0.45</v>
      </c>
      <c r="C6" s="28" t="n">
        <f aca="false">IF(VALE_VERDE!B13=0,0,VALE_VERDE!B12/VALE_VERDE!B13)</f>
        <v>0.818876622588863</v>
      </c>
      <c r="D6" s="28" t="n">
        <f aca="false">IF(VALE_VERDE!B11=0,0,VALE_VERDE!B12/VALE_VERDE!B11)</f>
        <v>0.819672131147541</v>
      </c>
      <c r="E6" s="23" t="n">
        <f aca="false">VALE_VERDE!B4</f>
        <v>16200000</v>
      </c>
      <c r="F6" s="23" t="n">
        <f aca="false">VALE_VERDE!B11</f>
        <v>8893800</v>
      </c>
      <c r="G6" s="23" t="n">
        <f aca="false">VALE_VERDE!B12</f>
        <v>7290000</v>
      </c>
      <c r="H6" s="23" t="n">
        <f aca="false">IF(VALE_VERDE!B16=0,VALE_VERDE!B4,VALE_VERDE!B4/VALE_VERDE!B16)</f>
        <v>19783200</v>
      </c>
      <c r="I6" s="23" t="n">
        <f aca="false">VALE_VERDE!B13</f>
        <v>8902440</v>
      </c>
      <c r="J6" s="23" t="n">
        <f aca="false">VALE_VERDE!B4-IF(VALE_VERDE!B16=0,VALE_VERDE!B4,VALE_VERDE!B4/VALE_VERDE!B16)</f>
        <v>-3583200</v>
      </c>
      <c r="K6" s="28" t="n">
        <f aca="false">IF((VALE_VERDE!B4-VALE_VERDE!B13)=0,0,(VALE_VERDE!B4-VALE_VERDE!B12)/(VALE_VERDE!B4-VALE_VERDE!B13))</f>
        <v>1.22095604558236</v>
      </c>
      <c r="L6" s="24" t="str">
        <f aca="false">IF(C6&gt;=0.95,"✔ OK",IF(C6&gt;=0.8,"⚠ ALERTA","✖ CRÍTICO"))</f>
        <v>⚠ ALERTA</v>
      </c>
    </row>
    <row r="7" customFormat="false" ht="21.75" hidden="false" customHeight="true" outlineLevel="0" collapsed="false">
      <c r="A7" s="15" t="s">
        <v>22</v>
      </c>
      <c r="B7" s="16" t="n">
        <f aca="false">INDUSTRIAL!B6</f>
        <v>0.31</v>
      </c>
      <c r="C7" s="27" t="n">
        <f aca="false">IF(INDUSTRIAL!B13=0,0,INDUSTRIAL!B12/INDUSTRIAL!B13)</f>
        <v>0.742830188679245</v>
      </c>
      <c r="D7" s="27" t="n">
        <f aca="false">IF(INDUSTRIAL!B11=0,0,INDUSTRIAL!B12/INDUSTRIAL!B11)</f>
        <v>0.981012658227848</v>
      </c>
      <c r="E7" s="18" t="n">
        <f aca="false">INDUSTRIAL!B4</f>
        <v>38100000</v>
      </c>
      <c r="F7" s="18" t="n">
        <f aca="false">INDUSTRIAL!B11</f>
        <v>12039600</v>
      </c>
      <c r="G7" s="18" t="n">
        <f aca="false">INDUSTRIAL!B12</f>
        <v>11811000</v>
      </c>
      <c r="H7" s="18" t="n">
        <f aca="false">IF(INDUSTRIAL!B16=0,INDUSTRIAL!B4,INDUSTRIAL!B4/INDUSTRIAL!B16)</f>
        <v>51290322.5806452</v>
      </c>
      <c r="I7" s="18" t="n">
        <f aca="false">INDUSTRIAL!B13</f>
        <v>15900000</v>
      </c>
      <c r="J7" s="18" t="n">
        <f aca="false">INDUSTRIAL!B4-IF(INDUSTRIAL!B16=0,INDUSTRIAL!B4,INDUSTRIAL!B4/INDUSTRIAL!B16)</f>
        <v>-13190322.5806452</v>
      </c>
      <c r="K7" s="27" t="n">
        <f aca="false">IF((INDUSTRIAL!B4-INDUSTRIAL!B13)=0,0,(INDUSTRIAL!B4-INDUSTRIAL!B12)/(INDUSTRIAL!B4-INDUSTRIAL!B13))</f>
        <v>1.18418918918919</v>
      </c>
      <c r="L7" s="19" t="str">
        <f aca="false">IF(C7&gt;=0.95,"✔ OK",IF(C7&gt;=0.8,"⚠ ALERTA","✖ CRÍTICO"))</f>
        <v>✖ CRÍTICO</v>
      </c>
    </row>
    <row r="9" customFormat="false" ht="24" hidden="false" customHeight="true" outlineLevel="0" collapsed="false">
      <c r="A9" s="29" t="s">
        <v>31</v>
      </c>
      <c r="B9" s="30" t="n">
        <f aca="false">AVERAGE(B5:B7)</f>
        <v>0.493333333333333</v>
      </c>
      <c r="C9" s="31" t="n">
        <f aca="false">AVERAGE(C5:C7)</f>
        <v>0.863551714663573</v>
      </c>
      <c r="D9" s="31" t="n">
        <f aca="false">AVERAGE(D5:D7)</f>
        <v>0.950082490530377</v>
      </c>
      <c r="E9" s="32" t="n">
        <f aca="false">SUM(E5:E7)</f>
        <v>77700000</v>
      </c>
      <c r="F9" s="32" t="n">
        <f aca="false">SUM(F5:F7)</f>
        <v>36985800</v>
      </c>
      <c r="G9" s="32" t="n">
        <f aca="false">SUM(G5:G7)</f>
        <v>35949000</v>
      </c>
      <c r="H9" s="32" t="n">
        <f aca="false">SUM(H5:H7)</f>
        <v>93815189.2473118</v>
      </c>
      <c r="I9" s="32" t="n">
        <f aca="false">SUM(I5:I7)</f>
        <v>41176440</v>
      </c>
      <c r="J9" s="32" t="n">
        <f aca="false">SUM(J5:J7)</f>
        <v>-16115189.2473118</v>
      </c>
      <c r="K9" s="31" t="n">
        <f aca="false">AVERAGE(K5:K7)</f>
        <v>1.11256050951252</v>
      </c>
      <c r="L9" s="33" t="s">
        <v>32</v>
      </c>
    </row>
  </sheetData>
  <mergeCells count="2">
    <mergeCell ref="A1:L1"/>
    <mergeCell ref="A2:L2"/>
  </mergeCells>
  <conditionalFormatting sqref="C5:C7">
    <cfRule type="colorScale" priority="2">
      <colorScale>
        <cfvo type="num" val="0.7"/>
        <cfvo type="num" val="0.9"/>
        <cfvo type="num" val="1.1"/>
        <color rgb="FFB91C1C"/>
        <color rgb="FFFFFF00"/>
        <color rgb="FF00B05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35"/>
  </cols>
  <sheetData>
    <row r="1" customFormat="false" ht="27.75" hidden="false" customHeight="true" outlineLevel="0" collapsed="false">
      <c r="A1" s="25" t="s">
        <v>33</v>
      </c>
      <c r="B1" s="25"/>
      <c r="C1" s="25"/>
      <c r="D1" s="25"/>
    </row>
    <row r="2" customFormat="false" ht="18" hidden="false" customHeight="true" outlineLevel="0" collapsed="false">
      <c r="A2" s="26" t="s">
        <v>34</v>
      </c>
      <c r="B2" s="26"/>
      <c r="C2" s="26"/>
      <c r="D2" s="26"/>
    </row>
    <row r="3" customFormat="false" ht="18" hidden="false" customHeight="true" outlineLevel="0" collapsed="false">
      <c r="A3" s="34" t="s">
        <v>35</v>
      </c>
      <c r="B3" s="34"/>
      <c r="C3" s="34"/>
      <c r="D3" s="34"/>
    </row>
    <row r="4" customFormat="false" ht="19.5" hidden="false" customHeight="true" outlineLevel="0" collapsed="false">
      <c r="A4" s="35" t="s">
        <v>36</v>
      </c>
      <c r="B4" s="36" t="n">
        <v>16200000</v>
      </c>
      <c r="C4" s="37" t="s">
        <v>37</v>
      </c>
      <c r="D4" s="38" t="s">
        <v>38</v>
      </c>
    </row>
    <row r="5" customFormat="false" ht="19.5" hidden="false" customHeight="true" outlineLevel="0" collapsed="false">
      <c r="A5" s="35" t="s">
        <v>39</v>
      </c>
      <c r="B5" s="39" t="n">
        <v>0.549</v>
      </c>
      <c r="C5" s="37" t="s">
        <v>37</v>
      </c>
      <c r="D5" s="38" t="s">
        <v>40</v>
      </c>
    </row>
    <row r="6" customFormat="false" ht="19.5" hidden="false" customHeight="true" outlineLevel="0" collapsed="false">
      <c r="A6" s="35" t="s">
        <v>41</v>
      </c>
      <c r="B6" s="39" t="n">
        <v>0.45</v>
      </c>
      <c r="C6" s="37" t="s">
        <v>37</v>
      </c>
      <c r="D6" s="38" t="s">
        <v>42</v>
      </c>
    </row>
    <row r="7" customFormat="false" ht="19.5" hidden="false" customHeight="true" outlineLevel="0" collapsed="false">
      <c r="A7" s="35" t="s">
        <v>43</v>
      </c>
      <c r="B7" s="36" t="n">
        <v>8902440</v>
      </c>
      <c r="C7" s="37" t="s">
        <v>37</v>
      </c>
      <c r="D7" s="38" t="s">
        <v>44</v>
      </c>
    </row>
    <row r="8" customFormat="false" ht="19.5" hidden="false" customHeight="true" outlineLevel="0" collapsed="false">
      <c r="A8" s="35" t="s">
        <v>45</v>
      </c>
      <c r="B8" s="40" t="n">
        <v>30</v>
      </c>
      <c r="C8" s="37" t="s">
        <v>37</v>
      </c>
      <c r="D8" s="38" t="s">
        <v>46</v>
      </c>
    </row>
    <row r="9" customFormat="false" ht="19.5" hidden="false" customHeight="true" outlineLevel="0" collapsed="false">
      <c r="A9" s="35" t="s">
        <v>47</v>
      </c>
      <c r="B9" s="40" t="n">
        <v>16</v>
      </c>
      <c r="C9" s="37" t="s">
        <v>37</v>
      </c>
      <c r="D9" s="38" t="s">
        <v>48</v>
      </c>
    </row>
    <row r="10" customFormat="false" ht="18" hidden="false" customHeight="true" outlineLevel="0" collapsed="false">
      <c r="A10" s="34" t="s">
        <v>49</v>
      </c>
      <c r="B10" s="34"/>
      <c r="C10" s="34"/>
      <c r="D10" s="34"/>
    </row>
    <row r="11" customFormat="false" ht="19.5" hidden="false" customHeight="true" outlineLevel="0" collapsed="false">
      <c r="A11" s="41" t="s">
        <v>50</v>
      </c>
      <c r="B11" s="42" t="n">
        <f aca="false">B4*B5</f>
        <v>8893800</v>
      </c>
      <c r="C11" s="43" t="s">
        <v>51</v>
      </c>
      <c r="D11" s="44" t="s">
        <v>52</v>
      </c>
    </row>
    <row r="12" customFormat="false" ht="19.5" hidden="false" customHeight="true" outlineLevel="0" collapsed="false">
      <c r="A12" s="41" t="s">
        <v>53</v>
      </c>
      <c r="B12" s="42" t="n">
        <f aca="false">B4*B6</f>
        <v>7290000</v>
      </c>
      <c r="C12" s="43" t="s">
        <v>51</v>
      </c>
      <c r="D12" s="44" t="s">
        <v>54</v>
      </c>
    </row>
    <row r="13" customFormat="false" ht="19.5" hidden="false" customHeight="true" outlineLevel="0" collapsed="false">
      <c r="A13" s="41" t="s">
        <v>55</v>
      </c>
      <c r="B13" s="42" t="n">
        <f aca="false">B7</f>
        <v>8902440</v>
      </c>
      <c r="C13" s="43" t="s">
        <v>51</v>
      </c>
      <c r="D13" s="44" t="s">
        <v>56</v>
      </c>
    </row>
    <row r="14" customFormat="false" ht="19.5" hidden="false" customHeight="true" outlineLevel="0" collapsed="false">
      <c r="A14" s="41" t="s">
        <v>57</v>
      </c>
      <c r="B14" s="42" t="n">
        <f aca="false">B12-B13</f>
        <v>-1612440</v>
      </c>
      <c r="C14" s="43" t="s">
        <v>51</v>
      </c>
      <c r="D14" s="44" t="s">
        <v>58</v>
      </c>
    </row>
    <row r="15" customFormat="false" ht="19.5" hidden="false" customHeight="true" outlineLevel="0" collapsed="false">
      <c r="A15" s="41" t="s">
        <v>59</v>
      </c>
      <c r="B15" s="42" t="n">
        <f aca="false">B12-B11</f>
        <v>-1603800</v>
      </c>
      <c r="C15" s="43" t="s">
        <v>51</v>
      </c>
      <c r="D15" s="44" t="s">
        <v>60</v>
      </c>
    </row>
    <row r="16" customFormat="false" ht="19.5" hidden="false" customHeight="true" outlineLevel="0" collapsed="false">
      <c r="A16" s="41" t="s">
        <v>61</v>
      </c>
      <c r="B16" s="45" t="n">
        <f aca="false">IF(B13=0,0,B12/B13)</f>
        <v>0.818876622588863</v>
      </c>
      <c r="C16" s="43" t="s">
        <v>51</v>
      </c>
      <c r="D16" s="44" t="s">
        <v>62</v>
      </c>
    </row>
    <row r="17" customFormat="false" ht="19.5" hidden="false" customHeight="true" outlineLevel="0" collapsed="false">
      <c r="A17" s="41" t="s">
        <v>63</v>
      </c>
      <c r="B17" s="45" t="n">
        <f aca="false">IF(B11=0,0,B12/B11)</f>
        <v>0.819672131147541</v>
      </c>
      <c r="C17" s="43" t="s">
        <v>51</v>
      </c>
      <c r="D17" s="44" t="s">
        <v>64</v>
      </c>
    </row>
    <row r="18" customFormat="false" ht="19.5" hidden="false" customHeight="true" outlineLevel="0" collapsed="false">
      <c r="A18" s="41" t="s">
        <v>65</v>
      </c>
      <c r="B18" s="42" t="n">
        <f aca="false">IF(B16=0,B4,B4/B16)</f>
        <v>19783200</v>
      </c>
      <c r="C18" s="43" t="s">
        <v>51</v>
      </c>
      <c r="D18" s="44" t="s">
        <v>66</v>
      </c>
    </row>
    <row r="19" customFormat="false" ht="19.5" hidden="false" customHeight="true" outlineLevel="0" collapsed="false">
      <c r="A19" s="41" t="s">
        <v>67</v>
      </c>
      <c r="B19" s="45" t="n">
        <f aca="false">IF((B4-B13)=0,0,(B4-B12)/(B4-B13))</f>
        <v>1.22095604558236</v>
      </c>
      <c r="C19" s="43" t="s">
        <v>51</v>
      </c>
      <c r="D19" s="44" t="s">
        <v>68</v>
      </c>
    </row>
    <row r="20" customFormat="false" ht="19.5" hidden="false" customHeight="true" outlineLevel="0" collapsed="false">
      <c r="A20" s="41" t="s">
        <v>69</v>
      </c>
      <c r="B20" s="42" t="n">
        <f aca="false">B4-B18</f>
        <v>-3583200</v>
      </c>
      <c r="C20" s="43" t="s">
        <v>51</v>
      </c>
      <c r="D20" s="44" t="s">
        <v>70</v>
      </c>
    </row>
    <row r="21" customFormat="false" ht="19.5" hidden="false" customHeight="true" outlineLevel="0" collapsed="false">
      <c r="A21" s="41" t="s">
        <v>71</v>
      </c>
      <c r="B21" s="42" t="n">
        <f aca="false">B18-B13</f>
        <v>10880760</v>
      </c>
      <c r="C21" s="43" t="s">
        <v>51</v>
      </c>
      <c r="D21" s="44" t="s">
        <v>72</v>
      </c>
    </row>
    <row r="22" customFormat="false" ht="19.5" hidden="false" customHeight="true" outlineLevel="0" collapsed="false">
      <c r="A22" s="41" t="s">
        <v>73</v>
      </c>
      <c r="B22" s="45" t="n">
        <f aca="false">IF(B8=0,0,B9/B8)</f>
        <v>0.533333333333333</v>
      </c>
      <c r="C22" s="43" t="s">
        <v>51</v>
      </c>
      <c r="D22" s="44" t="s">
        <v>74</v>
      </c>
    </row>
    <row r="23" customFormat="false" ht="19.5" hidden="false" customHeight="true" outlineLevel="0" collapsed="false">
      <c r="A23" s="46" t="s">
        <v>75</v>
      </c>
      <c r="B23" s="46"/>
      <c r="C23" s="46"/>
      <c r="D23" s="46"/>
    </row>
    <row r="24" customFormat="false" ht="21.75" hidden="false" customHeight="true" outlineLevel="0" collapsed="false">
      <c r="A24" s="47" t="s">
        <v>76</v>
      </c>
      <c r="B24" s="48" t="str">
        <f aca="false">IF(B16&gt;=0.95,"✔  DENTRO DO ORÇAMENTO",IF(B16&gt;=0.8,"⚠  ALERTA DE CUSTO","✖  ESTOURO CRÍTICO"))</f>
        <v>⚠  ALERTA DE CUSTO</v>
      </c>
      <c r="C24" s="48"/>
      <c r="D24" s="48"/>
    </row>
    <row r="25" customFormat="false" ht="21.75" hidden="false" customHeight="true" outlineLevel="0" collapsed="false">
      <c r="A25" s="47" t="s">
        <v>77</v>
      </c>
      <c r="B25" s="48" t="str">
        <f aca="false">IF(B17&gt;=0.95,"✔  DENTRO DO PRAZO",IF(B17&gt;=0.8,"⚠  ATRASO MODERADO","✖  ATRASO CRÍTICO"))</f>
        <v>⚠  ATRASO MODERADO</v>
      </c>
      <c r="C25" s="48"/>
      <c r="D25" s="48"/>
    </row>
    <row r="26" customFormat="false" ht="21.75" hidden="false" customHeight="true" outlineLevel="0" collapsed="false">
      <c r="A26" s="47" t="s">
        <v>78</v>
      </c>
      <c r="B26" s="48" t="str">
        <f aca="false">IF(B19&lt;=1.1,"✔  META VIÁVEL",IF(B19&lt;=1.2,"⚠  DESAFIADOR","✖  INVIÁVEL"))</f>
        <v>✖  INVIÁVEL</v>
      </c>
      <c r="C26" s="48"/>
      <c r="D26" s="48"/>
    </row>
  </sheetData>
  <mergeCells count="8">
    <mergeCell ref="A1:D1"/>
    <mergeCell ref="A2:D2"/>
    <mergeCell ref="A3:D3"/>
    <mergeCell ref="A10:D10"/>
    <mergeCell ref="A23:D23"/>
    <mergeCell ref="B24:D24"/>
    <mergeCell ref="B25:D25"/>
    <mergeCell ref="B26:D26"/>
  </mergeCells>
  <conditionalFormatting sqref="B24:D24">
    <cfRule type="expression" priority="2" aboveAverage="0" equalAverage="0" bottom="0" percent="0" rank="0" text="" dxfId="0">
      <formula>ISNUMBER(SEARCH("✔",B24))</formula>
    </cfRule>
    <cfRule type="expression" priority="3" aboveAverage="0" equalAverage="0" bottom="0" percent="0" rank="0" text="" dxfId="1">
      <formula>ISNUMBER(SEARCH("⚠",B24))</formula>
    </cfRule>
    <cfRule type="expression" priority="4" aboveAverage="0" equalAverage="0" bottom="0" percent="0" rank="0" text="" dxfId="2">
      <formula>ISNUMBER(SEARCH("✖",B24))</formula>
    </cfRule>
  </conditionalFormatting>
  <conditionalFormatting sqref="B25:D25">
    <cfRule type="expression" priority="5" aboveAverage="0" equalAverage="0" bottom="0" percent="0" rank="0" text="" dxfId="0">
      <formula>ISNUMBER(SEARCH("✔",B25))</formula>
    </cfRule>
    <cfRule type="expression" priority="6" aboveAverage="0" equalAverage="0" bottom="0" percent="0" rank="0" text="" dxfId="1">
      <formula>ISNUMBER(SEARCH("⚠",B25))</formula>
    </cfRule>
    <cfRule type="expression" priority="7" aboveAverage="0" equalAverage="0" bottom="0" percent="0" rank="0" text="" dxfId="2">
      <formula>ISNUMBER(SEARCH("✖",B25))</formula>
    </cfRule>
  </conditionalFormatting>
  <conditionalFormatting sqref="B26:D26">
    <cfRule type="expression" priority="8" aboveAverage="0" equalAverage="0" bottom="0" percent="0" rank="0" text="" dxfId="0">
      <formula>ISNUMBER(SEARCH("✔",B26))</formula>
    </cfRule>
    <cfRule type="expression" priority="9" aboveAverage="0" equalAverage="0" bottom="0" percent="0" rank="0" text="" dxfId="1">
      <formula>ISNUMBER(SEARCH("⚠",B26))</formula>
    </cfRule>
    <cfRule type="expression" priority="10" aboveAverage="0" equalAverage="0" bottom="0" percent="0" rank="0" text="" dxfId="2">
      <formula>ISNUMBER(SEARCH("✖",B26))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35"/>
  </cols>
  <sheetData>
    <row r="1" customFormat="false" ht="27.75" hidden="false" customHeight="true" outlineLevel="0" collapsed="false">
      <c r="A1" s="25" t="s">
        <v>79</v>
      </c>
      <c r="B1" s="25"/>
      <c r="C1" s="25"/>
      <c r="D1" s="25"/>
    </row>
    <row r="2" customFormat="false" ht="18" hidden="false" customHeight="true" outlineLevel="0" collapsed="false">
      <c r="A2" s="26" t="s">
        <v>34</v>
      </c>
      <c r="B2" s="26"/>
      <c r="C2" s="26"/>
      <c r="D2" s="26"/>
    </row>
    <row r="3" customFormat="false" ht="18" hidden="false" customHeight="true" outlineLevel="0" collapsed="false">
      <c r="A3" s="34" t="s">
        <v>35</v>
      </c>
      <c r="B3" s="34"/>
      <c r="C3" s="34"/>
      <c r="D3" s="34"/>
    </row>
    <row r="4" customFormat="false" ht="19.5" hidden="false" customHeight="true" outlineLevel="0" collapsed="false">
      <c r="A4" s="35" t="s">
        <v>36</v>
      </c>
      <c r="B4" s="36" t="n">
        <v>23400000</v>
      </c>
      <c r="C4" s="37" t="s">
        <v>37</v>
      </c>
      <c r="D4" s="38" t="s">
        <v>38</v>
      </c>
    </row>
    <row r="5" customFormat="false" ht="19.5" hidden="false" customHeight="true" outlineLevel="0" collapsed="false">
      <c r="A5" s="35" t="s">
        <v>39</v>
      </c>
      <c r="B5" s="39" t="n">
        <v>0.686</v>
      </c>
      <c r="C5" s="37" t="s">
        <v>37</v>
      </c>
      <c r="D5" s="38" t="s">
        <v>40</v>
      </c>
    </row>
    <row r="6" customFormat="false" ht="19.5" hidden="false" customHeight="true" outlineLevel="0" collapsed="false">
      <c r="A6" s="35" t="s">
        <v>41</v>
      </c>
      <c r="B6" s="39" t="n">
        <v>0.72</v>
      </c>
      <c r="C6" s="37" t="s">
        <v>37</v>
      </c>
      <c r="D6" s="38" t="s">
        <v>42</v>
      </c>
    </row>
    <row r="7" customFormat="false" ht="19.5" hidden="false" customHeight="true" outlineLevel="0" collapsed="false">
      <c r="A7" s="35" t="s">
        <v>43</v>
      </c>
      <c r="B7" s="36" t="n">
        <v>16374000</v>
      </c>
      <c r="C7" s="37" t="s">
        <v>37</v>
      </c>
      <c r="D7" s="38" t="s">
        <v>44</v>
      </c>
    </row>
    <row r="8" customFormat="false" ht="19.5" hidden="false" customHeight="true" outlineLevel="0" collapsed="false">
      <c r="A8" s="35" t="s">
        <v>45</v>
      </c>
      <c r="B8" s="40" t="n">
        <v>24</v>
      </c>
      <c r="C8" s="37" t="s">
        <v>37</v>
      </c>
      <c r="D8" s="38" t="s">
        <v>46</v>
      </c>
    </row>
    <row r="9" customFormat="false" ht="19.5" hidden="false" customHeight="true" outlineLevel="0" collapsed="false">
      <c r="A9" s="35" t="s">
        <v>47</v>
      </c>
      <c r="B9" s="40" t="n">
        <v>17</v>
      </c>
      <c r="C9" s="37" t="s">
        <v>37</v>
      </c>
      <c r="D9" s="38" t="s">
        <v>48</v>
      </c>
    </row>
    <row r="10" customFormat="false" ht="18" hidden="false" customHeight="true" outlineLevel="0" collapsed="false">
      <c r="A10" s="34" t="s">
        <v>49</v>
      </c>
      <c r="B10" s="34"/>
      <c r="C10" s="34"/>
      <c r="D10" s="34"/>
    </row>
    <row r="11" customFormat="false" ht="19.5" hidden="false" customHeight="true" outlineLevel="0" collapsed="false">
      <c r="A11" s="41" t="s">
        <v>50</v>
      </c>
      <c r="B11" s="42" t="n">
        <f aca="false">B4*B5</f>
        <v>16052400</v>
      </c>
      <c r="C11" s="43" t="s">
        <v>51</v>
      </c>
      <c r="D11" s="44" t="s">
        <v>52</v>
      </c>
    </row>
    <row r="12" customFormat="false" ht="19.5" hidden="false" customHeight="true" outlineLevel="0" collapsed="false">
      <c r="A12" s="41" t="s">
        <v>53</v>
      </c>
      <c r="B12" s="42" t="n">
        <f aca="false">B4*B6</f>
        <v>16848000</v>
      </c>
      <c r="C12" s="43" t="s">
        <v>51</v>
      </c>
      <c r="D12" s="44" t="s">
        <v>54</v>
      </c>
    </row>
    <row r="13" customFormat="false" ht="19.5" hidden="false" customHeight="true" outlineLevel="0" collapsed="false">
      <c r="A13" s="41" t="s">
        <v>55</v>
      </c>
      <c r="B13" s="42" t="n">
        <f aca="false">B7</f>
        <v>16374000</v>
      </c>
      <c r="C13" s="43" t="s">
        <v>51</v>
      </c>
      <c r="D13" s="44" t="s">
        <v>56</v>
      </c>
    </row>
    <row r="14" customFormat="false" ht="19.5" hidden="false" customHeight="true" outlineLevel="0" collapsed="false">
      <c r="A14" s="41" t="s">
        <v>57</v>
      </c>
      <c r="B14" s="42" t="n">
        <f aca="false">B12-B13</f>
        <v>474000</v>
      </c>
      <c r="C14" s="43" t="s">
        <v>51</v>
      </c>
      <c r="D14" s="44" t="s">
        <v>58</v>
      </c>
    </row>
    <row r="15" customFormat="false" ht="19.5" hidden="false" customHeight="true" outlineLevel="0" collapsed="false">
      <c r="A15" s="41" t="s">
        <v>59</v>
      </c>
      <c r="B15" s="42" t="n">
        <f aca="false">B12-B11</f>
        <v>795599.999999998</v>
      </c>
      <c r="C15" s="43" t="s">
        <v>51</v>
      </c>
      <c r="D15" s="44" t="s">
        <v>60</v>
      </c>
    </row>
    <row r="16" customFormat="false" ht="19.5" hidden="false" customHeight="true" outlineLevel="0" collapsed="false">
      <c r="A16" s="41" t="s">
        <v>61</v>
      </c>
      <c r="B16" s="45" t="n">
        <f aca="false">IF(B13=0,0,B12/B13)</f>
        <v>1.02894833272261</v>
      </c>
      <c r="C16" s="43" t="s">
        <v>51</v>
      </c>
      <c r="D16" s="44" t="s">
        <v>62</v>
      </c>
    </row>
    <row r="17" customFormat="false" ht="19.5" hidden="false" customHeight="true" outlineLevel="0" collapsed="false">
      <c r="A17" s="41" t="s">
        <v>63</v>
      </c>
      <c r="B17" s="45" t="n">
        <f aca="false">IF(B11=0,0,B12/B11)</f>
        <v>1.04956268221574</v>
      </c>
      <c r="C17" s="43" t="s">
        <v>51</v>
      </c>
      <c r="D17" s="44" t="s">
        <v>64</v>
      </c>
    </row>
    <row r="18" customFormat="false" ht="19.5" hidden="false" customHeight="true" outlineLevel="0" collapsed="false">
      <c r="A18" s="41" t="s">
        <v>65</v>
      </c>
      <c r="B18" s="42" t="n">
        <f aca="false">IF(B16=0,B4,B4/B16)</f>
        <v>22741666.6666667</v>
      </c>
      <c r="C18" s="43" t="s">
        <v>51</v>
      </c>
      <c r="D18" s="44" t="s">
        <v>66</v>
      </c>
    </row>
    <row r="19" customFormat="false" ht="19.5" hidden="false" customHeight="true" outlineLevel="0" collapsed="false">
      <c r="A19" s="41" t="s">
        <v>67</v>
      </c>
      <c r="B19" s="45" t="n">
        <f aca="false">IF((B4-B13)=0,0,(B4-B12)/(B4-B13))</f>
        <v>0.932536293766012</v>
      </c>
      <c r="C19" s="43" t="s">
        <v>51</v>
      </c>
      <c r="D19" s="44" t="s">
        <v>68</v>
      </c>
    </row>
    <row r="20" customFormat="false" ht="19.5" hidden="false" customHeight="true" outlineLevel="0" collapsed="false">
      <c r="A20" s="41" t="s">
        <v>69</v>
      </c>
      <c r="B20" s="42" t="n">
        <f aca="false">B4-B18</f>
        <v>658333.333333332</v>
      </c>
      <c r="C20" s="43" t="s">
        <v>51</v>
      </c>
      <c r="D20" s="44" t="s">
        <v>70</v>
      </c>
    </row>
    <row r="21" customFormat="false" ht="19.5" hidden="false" customHeight="true" outlineLevel="0" collapsed="false">
      <c r="A21" s="41" t="s">
        <v>71</v>
      </c>
      <c r="B21" s="42" t="n">
        <f aca="false">B18-B13</f>
        <v>6367666.66666667</v>
      </c>
      <c r="C21" s="43" t="s">
        <v>51</v>
      </c>
      <c r="D21" s="44" t="s">
        <v>72</v>
      </c>
    </row>
    <row r="22" customFormat="false" ht="19.5" hidden="false" customHeight="true" outlineLevel="0" collapsed="false">
      <c r="A22" s="41" t="s">
        <v>73</v>
      </c>
      <c r="B22" s="45" t="n">
        <f aca="false">IF(B8=0,0,B9/B8)</f>
        <v>0.708333333333333</v>
      </c>
      <c r="C22" s="43" t="s">
        <v>51</v>
      </c>
      <c r="D22" s="44" t="s">
        <v>74</v>
      </c>
    </row>
    <row r="23" customFormat="false" ht="19.5" hidden="false" customHeight="true" outlineLevel="0" collapsed="false">
      <c r="A23" s="46" t="s">
        <v>75</v>
      </c>
      <c r="B23" s="46"/>
      <c r="C23" s="46"/>
      <c r="D23" s="46"/>
    </row>
    <row r="24" customFormat="false" ht="21.75" hidden="false" customHeight="true" outlineLevel="0" collapsed="false">
      <c r="A24" s="47" t="s">
        <v>76</v>
      </c>
      <c r="B24" s="48" t="str">
        <f aca="false">IF(B16&gt;=0.95,"✔  DENTRO DO ORÇAMENTO",IF(B16&gt;=0.8,"⚠  ALERTA DE CUSTO","✖  ESTOURO CRÍTICO"))</f>
        <v>✔  DENTRO DO ORÇAMENTO</v>
      </c>
      <c r="C24" s="48"/>
      <c r="D24" s="48"/>
    </row>
    <row r="25" customFormat="false" ht="21.75" hidden="false" customHeight="true" outlineLevel="0" collapsed="false">
      <c r="A25" s="47" t="s">
        <v>77</v>
      </c>
      <c r="B25" s="48" t="str">
        <f aca="false">IF(B17&gt;=0.95,"✔  DENTRO DO PRAZO",IF(B17&gt;=0.8,"⚠  ATRASO MODERADO","✖  ATRASO CRÍTICO"))</f>
        <v>✔  DENTRO DO PRAZO</v>
      </c>
      <c r="C25" s="48"/>
      <c r="D25" s="48"/>
    </row>
    <row r="26" customFormat="false" ht="21.75" hidden="false" customHeight="true" outlineLevel="0" collapsed="false">
      <c r="A26" s="47" t="s">
        <v>78</v>
      </c>
      <c r="B26" s="48" t="str">
        <f aca="false">IF(B19&lt;=1.1,"✔  META VIÁVEL",IF(B19&lt;=1.2,"⚠  DESAFIADOR","✖  INVIÁVEL"))</f>
        <v>✔  META VIÁVEL</v>
      </c>
      <c r="C26" s="48"/>
      <c r="D26" s="48"/>
    </row>
  </sheetData>
  <mergeCells count="8">
    <mergeCell ref="A1:D1"/>
    <mergeCell ref="A2:D2"/>
    <mergeCell ref="A3:D3"/>
    <mergeCell ref="A10:D10"/>
    <mergeCell ref="A23:D23"/>
    <mergeCell ref="B24:D24"/>
    <mergeCell ref="B25:D25"/>
    <mergeCell ref="B26:D26"/>
  </mergeCells>
  <conditionalFormatting sqref="B24:D24">
    <cfRule type="expression" priority="2" aboveAverage="0" equalAverage="0" bottom="0" percent="0" rank="0" text="" dxfId="0">
      <formula>ISNUMBER(SEARCH("✔",B24))</formula>
    </cfRule>
    <cfRule type="expression" priority="3" aboveAverage="0" equalAverage="0" bottom="0" percent="0" rank="0" text="" dxfId="1">
      <formula>ISNUMBER(SEARCH("⚠",B24))</formula>
    </cfRule>
    <cfRule type="expression" priority="4" aboveAverage="0" equalAverage="0" bottom="0" percent="0" rank="0" text="" dxfId="2">
      <formula>ISNUMBER(SEARCH("✖",B24))</formula>
    </cfRule>
  </conditionalFormatting>
  <conditionalFormatting sqref="B25:D25">
    <cfRule type="expression" priority="5" aboveAverage="0" equalAverage="0" bottom="0" percent="0" rank="0" text="" dxfId="0">
      <formula>ISNUMBER(SEARCH("✔",B25))</formula>
    </cfRule>
    <cfRule type="expression" priority="6" aboveAverage="0" equalAverage="0" bottom="0" percent="0" rank="0" text="" dxfId="1">
      <formula>ISNUMBER(SEARCH("⚠",B25))</formula>
    </cfRule>
    <cfRule type="expression" priority="7" aboveAverage="0" equalAverage="0" bottom="0" percent="0" rank="0" text="" dxfId="2">
      <formula>ISNUMBER(SEARCH("✖",B25))</formula>
    </cfRule>
  </conditionalFormatting>
  <conditionalFormatting sqref="B26:D26">
    <cfRule type="expression" priority="8" aboveAverage="0" equalAverage="0" bottom="0" percent="0" rank="0" text="" dxfId="0">
      <formula>ISNUMBER(SEARCH("✔",B26))</formula>
    </cfRule>
    <cfRule type="expression" priority="9" aboveAverage="0" equalAverage="0" bottom="0" percent="0" rank="0" text="" dxfId="1">
      <formula>ISNUMBER(SEARCH("⚠",B26))</formula>
    </cfRule>
    <cfRule type="expression" priority="10" aboveAverage="0" equalAverage="0" bottom="0" percent="0" rank="0" text="" dxfId="2">
      <formula>ISNUMBER(SEARCH("✖",B26))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8"/>
  </cols>
  <sheetData>
    <row r="1" customFormat="false" ht="27.75" hidden="false" customHeight="true" outlineLevel="0" collapsed="false">
      <c r="A1" s="49" t="s">
        <v>80</v>
      </c>
      <c r="B1" s="49"/>
      <c r="C1" s="49"/>
      <c r="D1" s="49"/>
      <c r="E1" s="49"/>
    </row>
    <row r="2" customFormat="false" ht="18" hidden="false" customHeight="true" outlineLevel="0" collapsed="false">
      <c r="A2" s="26" t="s">
        <v>81</v>
      </c>
      <c r="B2" s="26"/>
      <c r="C2" s="26"/>
      <c r="D2" s="26"/>
      <c r="E2" s="26"/>
    </row>
    <row r="3" customFormat="false" ht="7.5" hidden="false" customHeight="true" outlineLevel="0" collapsed="false"/>
    <row r="4" customFormat="false" ht="21.75" hidden="false" customHeight="true" outlineLevel="0" collapsed="false">
      <c r="A4" s="14" t="s">
        <v>82</v>
      </c>
      <c r="B4" s="14" t="s">
        <v>83</v>
      </c>
      <c r="C4" s="14" t="s">
        <v>84</v>
      </c>
      <c r="D4" s="14" t="s">
        <v>85</v>
      </c>
      <c r="E4" s="14" t="s">
        <v>86</v>
      </c>
    </row>
    <row r="5" customFormat="false" ht="18.75" hidden="false" customHeight="true" outlineLevel="0" collapsed="false">
      <c r="A5" s="50" t="s">
        <v>87</v>
      </c>
      <c r="B5" s="51" t="n">
        <v>8.2</v>
      </c>
      <c r="C5" s="51" t="n">
        <v>6.1</v>
      </c>
      <c r="D5" s="51" t="n">
        <v>6.4</v>
      </c>
      <c r="E5" s="51"/>
    </row>
    <row r="6" customFormat="false" ht="18.75" hidden="false" customHeight="true" outlineLevel="0" collapsed="false">
      <c r="A6" s="52" t="s">
        <v>88</v>
      </c>
      <c r="B6" s="53" t="n">
        <v>18.4</v>
      </c>
      <c r="C6" s="53" t="n">
        <v>14.2</v>
      </c>
      <c r="D6" s="53" t="n">
        <v>14.9</v>
      </c>
      <c r="E6" s="53"/>
    </row>
    <row r="7" customFormat="false" ht="18.75" hidden="false" customHeight="true" outlineLevel="0" collapsed="false">
      <c r="A7" s="50" t="s">
        <v>89</v>
      </c>
      <c r="B7" s="51" t="n">
        <v>31</v>
      </c>
      <c r="C7" s="51" t="n">
        <v>25.8</v>
      </c>
      <c r="D7" s="51" t="n">
        <v>26.7</v>
      </c>
      <c r="E7" s="51"/>
    </row>
    <row r="8" customFormat="false" ht="18.75" hidden="false" customHeight="true" outlineLevel="0" collapsed="false">
      <c r="A8" s="52" t="s">
        <v>90</v>
      </c>
      <c r="B8" s="53" t="n">
        <v>47.2</v>
      </c>
      <c r="C8" s="53" t="n">
        <v>40.3</v>
      </c>
      <c r="D8" s="53" t="n">
        <v>41.8</v>
      </c>
      <c r="E8" s="53"/>
    </row>
    <row r="9" customFormat="false" ht="18.75" hidden="false" customHeight="true" outlineLevel="0" collapsed="false">
      <c r="A9" s="50" t="s">
        <v>91</v>
      </c>
      <c r="B9" s="51" t="n">
        <v>65.4</v>
      </c>
      <c r="C9" s="51" t="n">
        <v>56.7</v>
      </c>
      <c r="D9" s="51" t="n">
        <v>58.6</v>
      </c>
      <c r="E9" s="51"/>
    </row>
    <row r="10" customFormat="false" ht="18.75" hidden="false" customHeight="true" outlineLevel="0" collapsed="false">
      <c r="A10" s="52" t="s">
        <v>92</v>
      </c>
      <c r="B10" s="53" t="n">
        <v>81.6</v>
      </c>
      <c r="C10" s="53" t="n">
        <v>68.5</v>
      </c>
      <c r="D10" s="53" t="n">
        <v>70.9</v>
      </c>
      <c r="E10" s="53"/>
    </row>
    <row r="11" customFormat="false" ht="18.75" hidden="false" customHeight="true" outlineLevel="0" collapsed="false">
      <c r="A11" s="50" t="s">
        <v>93</v>
      </c>
      <c r="B11" s="51"/>
      <c r="C11" s="51"/>
      <c r="D11" s="51"/>
      <c r="E11" s="51" t="n">
        <v>88.2</v>
      </c>
    </row>
    <row r="12" customFormat="false" ht="18.75" hidden="false" customHeight="true" outlineLevel="0" collapsed="false">
      <c r="A12" s="52" t="s">
        <v>94</v>
      </c>
      <c r="B12" s="53"/>
      <c r="C12" s="53"/>
      <c r="D12" s="53"/>
      <c r="E12" s="53" t="n">
        <v>98.7</v>
      </c>
    </row>
    <row r="13" customFormat="false" ht="18.75" hidden="false" customHeight="true" outlineLevel="0" collapsed="false">
      <c r="A13" s="50" t="s">
        <v>95</v>
      </c>
      <c r="B13" s="51"/>
      <c r="C13" s="51"/>
      <c r="D13" s="51"/>
      <c r="E13" s="51" t="n">
        <v>110.4</v>
      </c>
    </row>
    <row r="14" customFormat="false" ht="18.75" hidden="false" customHeight="true" outlineLevel="0" collapsed="false">
      <c r="A14" s="52" t="s">
        <v>96</v>
      </c>
      <c r="B14" s="53"/>
      <c r="C14" s="53"/>
      <c r="D14" s="53"/>
      <c r="E14" s="53" t="n">
        <v>121</v>
      </c>
    </row>
    <row r="15" customFormat="false" ht="18.75" hidden="false" customHeight="true" outlineLevel="0" collapsed="false">
      <c r="A15" s="50" t="s">
        <v>97</v>
      </c>
      <c r="B15" s="51"/>
      <c r="C15" s="51"/>
      <c r="D15" s="51"/>
      <c r="E15" s="51" t="n">
        <v>133.2</v>
      </c>
    </row>
    <row r="16" customFormat="false" ht="18.75" hidden="false" customHeight="true" outlineLevel="0" collapsed="false">
      <c r="A16" s="52" t="s">
        <v>98</v>
      </c>
      <c r="B16" s="53"/>
      <c r="C16" s="53"/>
      <c r="D16" s="53"/>
      <c r="E16" s="53" t="n">
        <v>146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35"/>
  </cols>
  <sheetData>
    <row r="1" customFormat="false" ht="27.75" hidden="false" customHeight="true" outlineLevel="0" collapsed="false">
      <c r="A1" s="25" t="s">
        <v>99</v>
      </c>
      <c r="B1" s="25"/>
      <c r="C1" s="25"/>
      <c r="D1" s="25"/>
    </row>
    <row r="2" customFormat="false" ht="18" hidden="false" customHeight="true" outlineLevel="0" collapsed="false">
      <c r="A2" s="26" t="s">
        <v>34</v>
      </c>
      <c r="B2" s="26"/>
      <c r="C2" s="26"/>
      <c r="D2" s="26"/>
    </row>
    <row r="3" customFormat="false" ht="18" hidden="false" customHeight="true" outlineLevel="0" collapsed="false">
      <c r="A3" s="34" t="s">
        <v>35</v>
      </c>
      <c r="B3" s="34"/>
      <c r="C3" s="34"/>
      <c r="D3" s="34"/>
    </row>
    <row r="4" customFormat="false" ht="19.5" hidden="false" customHeight="true" outlineLevel="0" collapsed="false">
      <c r="A4" s="35" t="s">
        <v>36</v>
      </c>
      <c r="B4" s="36" t="n">
        <v>38100000</v>
      </c>
      <c r="C4" s="37" t="s">
        <v>37</v>
      </c>
      <c r="D4" s="38" t="s">
        <v>38</v>
      </c>
    </row>
    <row r="5" customFormat="false" ht="19.5" hidden="false" customHeight="true" outlineLevel="0" collapsed="false">
      <c r="A5" s="35" t="s">
        <v>39</v>
      </c>
      <c r="B5" s="39" t="n">
        <v>0.316</v>
      </c>
      <c r="C5" s="37" t="s">
        <v>37</v>
      </c>
      <c r="D5" s="38" t="s">
        <v>40</v>
      </c>
    </row>
    <row r="6" customFormat="false" ht="19.5" hidden="false" customHeight="true" outlineLevel="0" collapsed="false">
      <c r="A6" s="35" t="s">
        <v>41</v>
      </c>
      <c r="B6" s="39" t="n">
        <v>0.31</v>
      </c>
      <c r="C6" s="37" t="s">
        <v>37</v>
      </c>
      <c r="D6" s="38" t="s">
        <v>42</v>
      </c>
    </row>
    <row r="7" customFormat="false" ht="19.5" hidden="false" customHeight="true" outlineLevel="0" collapsed="false">
      <c r="A7" s="35" t="s">
        <v>43</v>
      </c>
      <c r="B7" s="36" t="n">
        <v>15900000</v>
      </c>
      <c r="C7" s="37" t="s">
        <v>37</v>
      </c>
      <c r="D7" s="38" t="s">
        <v>44</v>
      </c>
    </row>
    <row r="8" customFormat="false" ht="19.5" hidden="false" customHeight="true" outlineLevel="0" collapsed="false">
      <c r="A8" s="35" t="s">
        <v>45</v>
      </c>
      <c r="B8" s="40" t="n">
        <v>36</v>
      </c>
      <c r="C8" s="37" t="s">
        <v>37</v>
      </c>
      <c r="D8" s="38" t="s">
        <v>46</v>
      </c>
    </row>
    <row r="9" customFormat="false" ht="19.5" hidden="false" customHeight="true" outlineLevel="0" collapsed="false">
      <c r="A9" s="35" t="s">
        <v>47</v>
      </c>
      <c r="B9" s="40" t="n">
        <v>12</v>
      </c>
      <c r="C9" s="37" t="s">
        <v>37</v>
      </c>
      <c r="D9" s="38" t="s">
        <v>48</v>
      </c>
    </row>
    <row r="10" customFormat="false" ht="18" hidden="false" customHeight="true" outlineLevel="0" collapsed="false">
      <c r="A10" s="34" t="s">
        <v>49</v>
      </c>
      <c r="B10" s="34"/>
      <c r="C10" s="34"/>
      <c r="D10" s="34"/>
    </row>
    <row r="11" customFormat="false" ht="19.5" hidden="false" customHeight="true" outlineLevel="0" collapsed="false">
      <c r="A11" s="41" t="s">
        <v>50</v>
      </c>
      <c r="B11" s="42" t="n">
        <f aca="false">B4*B5</f>
        <v>12039600</v>
      </c>
      <c r="C11" s="43" t="s">
        <v>51</v>
      </c>
      <c r="D11" s="44" t="s">
        <v>52</v>
      </c>
    </row>
    <row r="12" customFormat="false" ht="19.5" hidden="false" customHeight="true" outlineLevel="0" collapsed="false">
      <c r="A12" s="41" t="s">
        <v>53</v>
      </c>
      <c r="B12" s="42" t="n">
        <f aca="false">B4*B6</f>
        <v>11811000</v>
      </c>
      <c r="C12" s="43" t="s">
        <v>51</v>
      </c>
      <c r="D12" s="44" t="s">
        <v>54</v>
      </c>
    </row>
    <row r="13" customFormat="false" ht="19.5" hidden="false" customHeight="true" outlineLevel="0" collapsed="false">
      <c r="A13" s="41" t="s">
        <v>55</v>
      </c>
      <c r="B13" s="42" t="n">
        <f aca="false">B7</f>
        <v>15900000</v>
      </c>
      <c r="C13" s="43" t="s">
        <v>51</v>
      </c>
      <c r="D13" s="44" t="s">
        <v>56</v>
      </c>
    </row>
    <row r="14" customFormat="false" ht="19.5" hidden="false" customHeight="true" outlineLevel="0" collapsed="false">
      <c r="A14" s="41" t="s">
        <v>57</v>
      </c>
      <c r="B14" s="42" t="n">
        <f aca="false">B12-B13</f>
        <v>-4089000</v>
      </c>
      <c r="C14" s="43" t="s">
        <v>51</v>
      </c>
      <c r="D14" s="44" t="s">
        <v>58</v>
      </c>
    </row>
    <row r="15" customFormat="false" ht="19.5" hidden="false" customHeight="true" outlineLevel="0" collapsed="false">
      <c r="A15" s="41" t="s">
        <v>59</v>
      </c>
      <c r="B15" s="42" t="n">
        <f aca="false">B12-B11</f>
        <v>-228600</v>
      </c>
      <c r="C15" s="43" t="s">
        <v>51</v>
      </c>
      <c r="D15" s="44" t="s">
        <v>60</v>
      </c>
    </row>
    <row r="16" customFormat="false" ht="19.5" hidden="false" customHeight="true" outlineLevel="0" collapsed="false">
      <c r="A16" s="41" t="s">
        <v>61</v>
      </c>
      <c r="B16" s="45" t="n">
        <f aca="false">IF(B13=0,0,B12/B13)</f>
        <v>0.742830188679245</v>
      </c>
      <c r="C16" s="43" t="s">
        <v>51</v>
      </c>
      <c r="D16" s="44" t="s">
        <v>62</v>
      </c>
    </row>
    <row r="17" customFormat="false" ht="19.5" hidden="false" customHeight="true" outlineLevel="0" collapsed="false">
      <c r="A17" s="41" t="s">
        <v>63</v>
      </c>
      <c r="B17" s="45" t="n">
        <f aca="false">IF(B11=0,0,B12/B11)</f>
        <v>0.981012658227848</v>
      </c>
      <c r="C17" s="43" t="s">
        <v>51</v>
      </c>
      <c r="D17" s="44" t="s">
        <v>64</v>
      </c>
    </row>
    <row r="18" customFormat="false" ht="19.5" hidden="false" customHeight="true" outlineLevel="0" collapsed="false">
      <c r="A18" s="41" t="s">
        <v>65</v>
      </c>
      <c r="B18" s="42" t="n">
        <f aca="false">IF(B16=0,B4,B4/B16)</f>
        <v>51290322.5806452</v>
      </c>
      <c r="C18" s="43" t="s">
        <v>51</v>
      </c>
      <c r="D18" s="44" t="s">
        <v>66</v>
      </c>
    </row>
    <row r="19" customFormat="false" ht="19.5" hidden="false" customHeight="true" outlineLevel="0" collapsed="false">
      <c r="A19" s="41" t="s">
        <v>67</v>
      </c>
      <c r="B19" s="45" t="n">
        <f aca="false">IF((B4-B13)=0,0,(B4-B12)/(B4-B13))</f>
        <v>1.18418918918919</v>
      </c>
      <c r="C19" s="43" t="s">
        <v>51</v>
      </c>
      <c r="D19" s="44" t="s">
        <v>68</v>
      </c>
    </row>
    <row r="20" customFormat="false" ht="19.5" hidden="false" customHeight="true" outlineLevel="0" collapsed="false">
      <c r="A20" s="41" t="s">
        <v>69</v>
      </c>
      <c r="B20" s="42" t="n">
        <f aca="false">B4-B18</f>
        <v>-13190322.5806452</v>
      </c>
      <c r="C20" s="43" t="s">
        <v>51</v>
      </c>
      <c r="D20" s="44" t="s">
        <v>70</v>
      </c>
    </row>
    <row r="21" customFormat="false" ht="19.5" hidden="false" customHeight="true" outlineLevel="0" collapsed="false">
      <c r="A21" s="41" t="s">
        <v>71</v>
      </c>
      <c r="B21" s="42" t="n">
        <f aca="false">B18-B13</f>
        <v>35390322.5806452</v>
      </c>
      <c r="C21" s="43" t="s">
        <v>51</v>
      </c>
      <c r="D21" s="44" t="s">
        <v>72</v>
      </c>
    </row>
    <row r="22" customFormat="false" ht="19.5" hidden="false" customHeight="true" outlineLevel="0" collapsed="false">
      <c r="A22" s="41" t="s">
        <v>73</v>
      </c>
      <c r="B22" s="45" t="n">
        <f aca="false">IF(B8=0,0,B9/B8)</f>
        <v>0.333333333333333</v>
      </c>
      <c r="C22" s="43" t="s">
        <v>51</v>
      </c>
      <c r="D22" s="44" t="s">
        <v>74</v>
      </c>
    </row>
    <row r="23" customFormat="false" ht="19.5" hidden="false" customHeight="true" outlineLevel="0" collapsed="false">
      <c r="A23" s="46" t="s">
        <v>75</v>
      </c>
      <c r="B23" s="46"/>
      <c r="C23" s="46"/>
      <c r="D23" s="46"/>
    </row>
    <row r="24" customFormat="false" ht="21.75" hidden="false" customHeight="true" outlineLevel="0" collapsed="false">
      <c r="A24" s="47" t="s">
        <v>76</v>
      </c>
      <c r="B24" s="48" t="str">
        <f aca="false">IF(B16&gt;=0.95,"✔  DENTRO DO ORÇAMENTO",IF(B16&gt;=0.8,"⚠  ALERTA DE CUSTO","✖  ESTOURO CRÍTICO"))</f>
        <v>✖  ESTOURO CRÍTICO</v>
      </c>
      <c r="C24" s="48"/>
      <c r="D24" s="48"/>
    </row>
    <row r="25" customFormat="false" ht="21.75" hidden="false" customHeight="true" outlineLevel="0" collapsed="false">
      <c r="A25" s="47" t="s">
        <v>77</v>
      </c>
      <c r="B25" s="48" t="str">
        <f aca="false">IF(B17&gt;=0.95,"✔  DENTRO DO PRAZO",IF(B17&gt;=0.8,"⚠  ATRASO MODERADO","✖  ATRASO CRÍTICO"))</f>
        <v>✔  DENTRO DO PRAZO</v>
      </c>
      <c r="C25" s="48"/>
      <c r="D25" s="48"/>
    </row>
    <row r="26" customFormat="false" ht="21.75" hidden="false" customHeight="true" outlineLevel="0" collapsed="false">
      <c r="A26" s="47" t="s">
        <v>78</v>
      </c>
      <c r="B26" s="48" t="str">
        <f aca="false">IF(B19&lt;=1.1,"✔  META VIÁVEL",IF(B19&lt;=1.2,"⚠  DESAFIADOR","✖  INVIÁVEL"))</f>
        <v>⚠  DESAFIADOR</v>
      </c>
      <c r="C26" s="48"/>
      <c r="D26" s="48"/>
    </row>
  </sheetData>
  <mergeCells count="8">
    <mergeCell ref="A1:D1"/>
    <mergeCell ref="A2:D2"/>
    <mergeCell ref="A3:D3"/>
    <mergeCell ref="A10:D10"/>
    <mergeCell ref="A23:D23"/>
    <mergeCell ref="B24:D24"/>
    <mergeCell ref="B25:D25"/>
    <mergeCell ref="B26:D26"/>
  </mergeCells>
  <conditionalFormatting sqref="B24:D24">
    <cfRule type="expression" priority="2" aboveAverage="0" equalAverage="0" bottom="0" percent="0" rank="0" text="" dxfId="0">
      <formula>ISNUMBER(SEARCH("✔",B24))</formula>
    </cfRule>
    <cfRule type="expression" priority="3" aboveAverage="0" equalAverage="0" bottom="0" percent="0" rank="0" text="" dxfId="1">
      <formula>ISNUMBER(SEARCH("⚠",B24))</formula>
    </cfRule>
    <cfRule type="expression" priority="4" aboveAverage="0" equalAverage="0" bottom="0" percent="0" rank="0" text="" dxfId="2">
      <formula>ISNUMBER(SEARCH("✖",B24))</formula>
    </cfRule>
  </conditionalFormatting>
  <conditionalFormatting sqref="B25:D25">
    <cfRule type="expression" priority="5" aboveAverage="0" equalAverage="0" bottom="0" percent="0" rank="0" text="" dxfId="0">
      <formula>ISNUMBER(SEARCH("✔",B25))</formula>
    </cfRule>
    <cfRule type="expression" priority="6" aboveAverage="0" equalAverage="0" bottom="0" percent="0" rank="0" text="" dxfId="1">
      <formula>ISNUMBER(SEARCH("⚠",B25))</formula>
    </cfRule>
    <cfRule type="expression" priority="7" aboveAverage="0" equalAverage="0" bottom="0" percent="0" rank="0" text="" dxfId="2">
      <formula>ISNUMBER(SEARCH("✖",B25))</formula>
    </cfRule>
  </conditionalFormatting>
  <conditionalFormatting sqref="B26:D26">
    <cfRule type="expression" priority="8" aboveAverage="0" equalAverage="0" bottom="0" percent="0" rank="0" text="" dxfId="0">
      <formula>ISNUMBER(SEARCH("✔",B26))</formula>
    </cfRule>
    <cfRule type="expression" priority="9" aboveAverage="0" equalAverage="0" bottom="0" percent="0" rank="0" text="" dxfId="1">
      <formula>ISNUMBER(SEARCH("⚠",B26))</formula>
    </cfRule>
    <cfRule type="expression" priority="10" aboveAverage="0" equalAverage="0" bottom="0" percent="0" rank="0" text="" dxfId="2">
      <formula>ISNUMBER(SEARCH("✖",B26))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45"/>
  </cols>
  <sheetData>
    <row r="1" customFormat="false" ht="27.75" hidden="false" customHeight="true" outlineLevel="0" collapsed="false">
      <c r="A1" s="49" t="s">
        <v>100</v>
      </c>
      <c r="B1" s="49"/>
      <c r="C1" s="49"/>
    </row>
    <row r="3" customFormat="false" ht="19.5" hidden="false" customHeight="true" outlineLevel="0" collapsed="false">
      <c r="A3" s="54" t="s">
        <v>101</v>
      </c>
      <c r="B3" s="54" t="s">
        <v>102</v>
      </c>
      <c r="C3" s="54" t="s">
        <v>103</v>
      </c>
    </row>
    <row r="4" customFormat="false" ht="19.5" hidden="false" customHeight="true" outlineLevel="0" collapsed="false">
      <c r="A4" s="55" t="s">
        <v>104</v>
      </c>
      <c r="B4" s="56" t="s">
        <v>105</v>
      </c>
      <c r="C4" s="56" t="s">
        <v>106</v>
      </c>
    </row>
    <row r="5" customFormat="false" ht="19.5" hidden="false" customHeight="true" outlineLevel="0" collapsed="false">
      <c r="A5" s="57" t="s">
        <v>107</v>
      </c>
      <c r="B5" s="41" t="s">
        <v>108</v>
      </c>
      <c r="C5" s="41" t="s">
        <v>109</v>
      </c>
    </row>
    <row r="6" customFormat="false" ht="19.5" hidden="false" customHeight="true" outlineLevel="0" collapsed="false">
      <c r="A6" s="55" t="s">
        <v>110</v>
      </c>
      <c r="B6" s="56" t="s">
        <v>111</v>
      </c>
      <c r="C6" s="56" t="s">
        <v>112</v>
      </c>
    </row>
    <row r="7" customFormat="false" ht="19.5" hidden="false" customHeight="true" outlineLevel="0" collapsed="false">
      <c r="A7" s="57" t="s">
        <v>113</v>
      </c>
      <c r="B7" s="41" t="s">
        <v>114</v>
      </c>
      <c r="C7" s="41" t="s">
        <v>115</v>
      </c>
    </row>
    <row r="8" customFormat="false" ht="19.5" hidden="false" customHeight="true" outlineLevel="0" collapsed="false">
      <c r="A8" s="55" t="s">
        <v>116</v>
      </c>
      <c r="B8" s="56" t="s">
        <v>117</v>
      </c>
      <c r="C8" s="56" t="s">
        <v>118</v>
      </c>
    </row>
    <row r="9" customFormat="false" ht="19.5" hidden="false" customHeight="true" outlineLevel="0" collapsed="false">
      <c r="A9" s="57" t="s">
        <v>119</v>
      </c>
      <c r="B9" s="41" t="s">
        <v>120</v>
      </c>
      <c r="C9" s="41" t="s">
        <v>121</v>
      </c>
    </row>
    <row r="10" customFormat="false" ht="19.5" hidden="false" customHeight="true" outlineLevel="0" collapsed="false">
      <c r="A10" s="55" t="s">
        <v>122</v>
      </c>
      <c r="B10" s="56" t="s">
        <v>123</v>
      </c>
      <c r="C10" s="56" t="s">
        <v>124</v>
      </c>
    </row>
    <row r="11" customFormat="false" ht="19.5" hidden="false" customHeight="true" outlineLevel="0" collapsed="false">
      <c r="A11" s="57" t="s">
        <v>125</v>
      </c>
      <c r="B11" s="41" t="s">
        <v>126</v>
      </c>
      <c r="C11" s="41" t="s">
        <v>127</v>
      </c>
    </row>
    <row r="12" customFormat="false" ht="19.5" hidden="false" customHeight="true" outlineLevel="0" collapsed="false">
      <c r="A12" s="55" t="s">
        <v>65</v>
      </c>
      <c r="B12" s="56" t="s">
        <v>128</v>
      </c>
      <c r="C12" s="56" t="s">
        <v>129</v>
      </c>
    </row>
    <row r="13" customFormat="false" ht="19.5" hidden="false" customHeight="true" outlineLevel="0" collapsed="false">
      <c r="A13" s="57" t="s">
        <v>71</v>
      </c>
      <c r="B13" s="41" t="s">
        <v>130</v>
      </c>
      <c r="C13" s="41" t="s">
        <v>131</v>
      </c>
    </row>
    <row r="14" customFormat="false" ht="19.5" hidden="false" customHeight="true" outlineLevel="0" collapsed="false">
      <c r="A14" s="55" t="s">
        <v>69</v>
      </c>
      <c r="B14" s="56" t="s">
        <v>132</v>
      </c>
      <c r="C14" s="56" t="s">
        <v>133</v>
      </c>
    </row>
    <row r="15" customFormat="false" ht="19.5" hidden="false" customHeight="true" outlineLevel="0" collapsed="false">
      <c r="A15" s="57" t="s">
        <v>134</v>
      </c>
      <c r="B15" s="41" t="s">
        <v>135</v>
      </c>
      <c r="C15" s="41" t="s">
        <v>136</v>
      </c>
    </row>
    <row r="16" customFormat="false" ht="19.5" hidden="false" customHeight="true" outlineLevel="0" collapsed="false">
      <c r="A16" s="55"/>
      <c r="B16" s="56"/>
      <c r="C16" s="56"/>
    </row>
    <row r="17" customFormat="false" ht="19.5" hidden="false" customHeight="true" outlineLevel="0" collapsed="false">
      <c r="A17" s="54" t="s">
        <v>137</v>
      </c>
      <c r="B17" s="54"/>
      <c r="C17" s="54"/>
    </row>
    <row r="18" customFormat="false" ht="19.5" hidden="false" customHeight="true" outlineLevel="0" collapsed="false">
      <c r="A18" s="55" t="s">
        <v>138</v>
      </c>
      <c r="B18" s="56" t="s">
        <v>139</v>
      </c>
      <c r="C18" s="56" t="s">
        <v>140</v>
      </c>
    </row>
    <row r="19" customFormat="false" ht="19.5" hidden="false" customHeight="true" outlineLevel="0" collapsed="false">
      <c r="A19" s="57" t="s">
        <v>141</v>
      </c>
      <c r="B19" s="41" t="s">
        <v>142</v>
      </c>
      <c r="C19" s="41" t="s">
        <v>143</v>
      </c>
    </row>
    <row r="20" customFormat="false" ht="19.5" hidden="false" customHeight="true" outlineLevel="0" collapsed="false">
      <c r="A20" s="55" t="s">
        <v>144</v>
      </c>
      <c r="B20" s="56" t="s">
        <v>145</v>
      </c>
      <c r="C20" s="56" t="s">
        <v>146</v>
      </c>
    </row>
    <row r="21" customFormat="false" ht="19.5" hidden="false" customHeight="true" outlineLevel="0" collapsed="false">
      <c r="A21" s="57"/>
      <c r="B21" s="41"/>
      <c r="C21" s="41"/>
    </row>
    <row r="22" customFormat="false" ht="19.5" hidden="false" customHeight="true" outlineLevel="0" collapsed="false">
      <c r="A22" s="54" t="s">
        <v>147</v>
      </c>
      <c r="B22" s="54"/>
      <c r="C22" s="54"/>
    </row>
    <row r="23" customFormat="false" ht="19.5" hidden="false" customHeight="true" outlineLevel="0" collapsed="false">
      <c r="A23" s="57" t="s">
        <v>148</v>
      </c>
      <c r="B23" s="41" t="s">
        <v>149</v>
      </c>
      <c r="C23" s="41" t="s">
        <v>150</v>
      </c>
    </row>
    <row r="24" customFormat="false" ht="19.5" hidden="false" customHeight="true" outlineLevel="0" collapsed="false">
      <c r="A24" s="55" t="s">
        <v>151</v>
      </c>
      <c r="B24" s="56" t="s">
        <v>152</v>
      </c>
      <c r="C24" s="56" t="s">
        <v>153</v>
      </c>
    </row>
    <row r="25" customFormat="false" ht="19.5" hidden="false" customHeight="true" outlineLevel="0" collapsed="false">
      <c r="A25" s="57" t="s">
        <v>154</v>
      </c>
      <c r="B25" s="41" t="s">
        <v>155</v>
      </c>
      <c r="C25" s="41" t="s">
        <v>156</v>
      </c>
    </row>
    <row r="26" customFormat="false" ht="19.5" hidden="false" customHeight="true" outlineLevel="0" collapsed="false">
      <c r="A26" s="55" t="s">
        <v>157</v>
      </c>
      <c r="B26" s="56" t="s">
        <v>155</v>
      </c>
      <c r="C26" s="56" t="s">
        <v>158</v>
      </c>
    </row>
    <row r="27" customFormat="false" ht="19.5" hidden="false" customHeight="true" outlineLevel="0" collapsed="false">
      <c r="A27" s="57" t="s">
        <v>159</v>
      </c>
      <c r="B27" s="41" t="s">
        <v>160</v>
      </c>
      <c r="C27" s="41" t="s">
        <v>161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2026-05-16T19:38:45Z</dcterms:created>
  <dc:creator>openpyxl</dc:creator>
  <dc:description/>
  <dc:language>en-US</dc:language>
  <cp:lastModifiedBy/>
  <dcterms:modified xsi:type="dcterms:W3CDTF">2026-05-16T19:38:51Z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